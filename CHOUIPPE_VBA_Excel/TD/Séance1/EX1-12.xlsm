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ppl\Documents\Dev\VBA\VBA-module-ouverture\CHOUIPPE_VBA_Excel\TD\Séance1\"/>
    </mc:Choice>
  </mc:AlternateContent>
  <xr:revisionPtr revIDLastSave="0" documentId="13_ncr:1_{37F180C4-031F-4C7B-A836-8C9726597449}" xr6:coauthVersionLast="47" xr6:coauthVersionMax="47" xr10:uidLastSave="{00000000-0000-0000-0000-000000000000}"/>
  <bookViews>
    <workbookView xWindow="-108" yWindow="-108" windowWidth="23256" windowHeight="12576" xr2:uid="{567D552B-E3E6-434A-966D-A8572B37F7B8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2" i="1" l="1"/>
  <c r="I45" i="1"/>
  <c r="I46" i="1"/>
  <c r="I47" i="1"/>
  <c r="I48" i="1"/>
  <c r="I49" i="1"/>
  <c r="I50" i="1"/>
  <c r="I51" i="1"/>
  <c r="I52" i="1"/>
  <c r="I53" i="1"/>
  <c r="I54" i="1"/>
  <c r="I55" i="1"/>
  <c r="I56" i="1"/>
  <c r="H46" i="1"/>
  <c r="H47" i="1"/>
  <c r="H48" i="1"/>
  <c r="H49" i="1"/>
  <c r="H50" i="1"/>
  <c r="H51" i="1"/>
  <c r="H52" i="1"/>
  <c r="H53" i="1"/>
  <c r="H54" i="1"/>
  <c r="H55" i="1"/>
  <c r="H56" i="1"/>
  <c r="H45" i="1"/>
  <c r="F45" i="1"/>
  <c r="B46" i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26" i="1"/>
  <c r="K14" i="1"/>
  <c r="K15" i="1"/>
  <c r="K16" i="1"/>
  <c r="K17" i="1"/>
  <c r="K18" i="1"/>
  <c r="K19" i="1"/>
  <c r="K20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7" i="1"/>
  <c r="F6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F62" i="1" a="1"/>
  <c r="D62" i="1" a="1"/>
  <c r="C62" i="1" a="1"/>
  <c r="J46" i="1" a="1"/>
  <c r="J48" i="1" a="1"/>
  <c r="J50" i="1" a="1"/>
  <c r="J52" i="1" a="1"/>
  <c r="J54" i="1" a="1"/>
  <c r="J56" i="1" a="1"/>
  <c r="J49" i="1" a="1"/>
  <c r="J51" i="1" a="1"/>
  <c r="J53" i="1" a="1"/>
  <c r="J47" i="1" a="1"/>
  <c r="J55" i="1" a="1"/>
  <c r="J45" i="1" a="1"/>
  <c r="D45" i="1" a="1"/>
  <c r="D46" i="1" a="1"/>
  <c r="D48" i="1" a="1"/>
  <c r="D50" i="1" a="1"/>
  <c r="D52" i="1" a="1"/>
  <c r="D54" i="1" a="1"/>
  <c r="D56" i="1" a="1"/>
  <c r="D47" i="1" a="1"/>
  <c r="D49" i="1" a="1"/>
  <c r="D51" i="1" a="1"/>
  <c r="D53" i="1" a="1"/>
  <c r="D55" i="1" a="1"/>
  <c r="C46" i="1" a="1"/>
  <c r="C48" i="1" a="1"/>
  <c r="C50" i="1" a="1"/>
  <c r="C52" i="1" a="1"/>
  <c r="C54" i="1" a="1"/>
  <c r="C56" i="1" a="1"/>
  <c r="C47" i="1" a="1"/>
  <c r="C49" i="1" a="1"/>
  <c r="C51" i="1" a="1"/>
  <c r="C53" i="1" a="1"/>
  <c r="C55" i="1" a="1"/>
  <c r="C45" i="1" a="1"/>
  <c r="F27" i="1" a="1"/>
  <c r="F29" i="1" a="1"/>
  <c r="F31" i="1" a="1"/>
  <c r="F33" i="1" a="1"/>
  <c r="F35" i="1" a="1"/>
  <c r="F37" i="1" a="1"/>
  <c r="F39" i="1" a="1"/>
  <c r="F28" i="1" a="1"/>
  <c r="F32" i="1" a="1"/>
  <c r="F34" i="1" a="1"/>
  <c r="F36" i="1" a="1"/>
  <c r="F38" i="1" a="1"/>
  <c r="F30" i="1" a="1"/>
  <c r="E27" i="1" a="1"/>
  <c r="E29" i="1" a="1"/>
  <c r="E31" i="1" a="1"/>
  <c r="E33" i="1" a="1"/>
  <c r="E35" i="1" a="1"/>
  <c r="E37" i="1" a="1"/>
  <c r="E39" i="1" a="1"/>
  <c r="E30" i="1" a="1"/>
  <c r="E34" i="1" a="1"/>
  <c r="E36" i="1" a="1"/>
  <c r="E28" i="1" a="1"/>
  <c r="E32" i="1" a="1"/>
  <c r="E38" i="1" a="1"/>
  <c r="F26" i="1" a="1"/>
  <c r="E26" i="1" a="1"/>
  <c r="D27" i="1" a="1"/>
  <c r="D29" i="1" a="1"/>
  <c r="D31" i="1" a="1"/>
  <c r="D33" i="1" a="1"/>
  <c r="D35" i="1" a="1"/>
  <c r="D37" i="1" a="1"/>
  <c r="D39" i="1" a="1"/>
  <c r="D28" i="1" a="1"/>
  <c r="D30" i="1" a="1"/>
  <c r="D32" i="1" a="1"/>
  <c r="D34" i="1" a="1"/>
  <c r="D36" i="1" a="1"/>
  <c r="D38" i="1" a="1"/>
  <c r="D26" i="1" a="1"/>
  <c r="L15" i="1" a="1"/>
  <c r="L17" i="1" a="1"/>
  <c r="L19" i="1" a="1"/>
  <c r="L16" i="1" a="1"/>
  <c r="L18" i="1" a="1"/>
  <c r="L20" i="1" a="1"/>
  <c r="L14" i="1" a="1"/>
  <c r="L8" i="1" a="1"/>
  <c r="L10" i="1" a="1"/>
  <c r="L12" i="1" a="1"/>
  <c r="L9" i="1" a="1"/>
  <c r="L11" i="1" a="1"/>
  <c r="L13" i="1" a="1"/>
  <c r="L7" i="1" a="1"/>
  <c r="J4" i="1" a="1"/>
  <c r="G6" i="1" a="1"/>
  <c r="G8" i="1" a="1"/>
  <c r="G10" i="1" a="1"/>
  <c r="G12" i="1" a="1"/>
  <c r="G14" i="1" a="1"/>
  <c r="G16" i="1" a="1"/>
  <c r="G18" i="1" a="1"/>
  <c r="G20" i="1" a="1"/>
  <c r="G9" i="1" a="1"/>
  <c r="G11" i="1" a="1"/>
  <c r="G15" i="1" a="1"/>
  <c r="G19" i="1" a="1"/>
  <c r="G7" i="1" a="1"/>
  <c r="G13" i="1" a="1"/>
  <c r="G17" i="1" a="1"/>
  <c r="G5" i="1" a="1"/>
  <c r="D6" i="1" a="1"/>
  <c r="D8" i="1" a="1"/>
  <c r="D10" i="1" a="1"/>
  <c r="D12" i="1" a="1"/>
  <c r="D14" i="1" a="1"/>
  <c r="D16" i="1" a="1"/>
  <c r="D18" i="1" a="1"/>
  <c r="D20" i="1" a="1"/>
  <c r="D7" i="1" a="1"/>
  <c r="D9" i="1" a="1"/>
  <c r="D11" i="1" a="1"/>
  <c r="D13" i="1" a="1"/>
  <c r="D15" i="1" a="1"/>
  <c r="D17" i="1" a="1"/>
  <c r="D19" i="1" a="1"/>
  <c r="D5" i="1" a="1"/>
  <c r="F62" i="1" l="1"/>
  <c r="D62" i="1"/>
  <c r="C62" i="1"/>
  <c r="J55" i="1"/>
  <c r="J47" i="1"/>
  <c r="J53" i="1"/>
  <c r="J51" i="1"/>
  <c r="J49" i="1"/>
  <c r="J56" i="1"/>
  <c r="J54" i="1"/>
  <c r="J52" i="1"/>
  <c r="J50" i="1"/>
  <c r="J48" i="1"/>
  <c r="J46" i="1"/>
  <c r="J45" i="1"/>
  <c r="D45" i="1"/>
  <c r="D55" i="1"/>
  <c r="D53" i="1"/>
  <c r="D51" i="1"/>
  <c r="D49" i="1"/>
  <c r="D47" i="1"/>
  <c r="D56" i="1"/>
  <c r="D54" i="1"/>
  <c r="D52" i="1"/>
  <c r="D50" i="1"/>
  <c r="D48" i="1"/>
  <c r="D46" i="1"/>
  <c r="C55" i="1"/>
  <c r="C53" i="1"/>
  <c r="C51" i="1"/>
  <c r="C49" i="1"/>
  <c r="C47" i="1"/>
  <c r="C56" i="1"/>
  <c r="C54" i="1"/>
  <c r="C52" i="1"/>
  <c r="C50" i="1"/>
  <c r="C48" i="1"/>
  <c r="C46" i="1"/>
  <c r="C45" i="1"/>
  <c r="F30" i="1"/>
  <c r="F38" i="1"/>
  <c r="F36" i="1"/>
  <c r="F34" i="1"/>
  <c r="F32" i="1"/>
  <c r="F28" i="1"/>
  <c r="F39" i="1"/>
  <c r="F37" i="1"/>
  <c r="F35" i="1"/>
  <c r="F33" i="1"/>
  <c r="F31" i="1"/>
  <c r="F29" i="1"/>
  <c r="F27" i="1"/>
  <c r="E38" i="1"/>
  <c r="E32" i="1"/>
  <c r="E28" i="1"/>
  <c r="E36" i="1"/>
  <c r="E34" i="1"/>
  <c r="E30" i="1"/>
  <c r="E39" i="1"/>
  <c r="E37" i="1"/>
  <c r="E35" i="1"/>
  <c r="E33" i="1"/>
  <c r="E31" i="1"/>
  <c r="E29" i="1"/>
  <c r="E27" i="1"/>
  <c r="F26" i="1"/>
  <c r="E26" i="1"/>
  <c r="D38" i="1"/>
  <c r="D36" i="1"/>
  <c r="D34" i="1"/>
  <c r="D32" i="1"/>
  <c r="D30" i="1"/>
  <c r="D28" i="1"/>
  <c r="D39" i="1"/>
  <c r="D37" i="1"/>
  <c r="D35" i="1"/>
  <c r="D33" i="1"/>
  <c r="D31" i="1"/>
  <c r="D29" i="1"/>
  <c r="D27" i="1"/>
  <c r="D26" i="1"/>
  <c r="L20" i="1"/>
  <c r="L18" i="1"/>
  <c r="L16" i="1"/>
  <c r="L19" i="1"/>
  <c r="L17" i="1"/>
  <c r="L15" i="1"/>
  <c r="L14" i="1"/>
  <c r="L13" i="1"/>
  <c r="L11" i="1"/>
  <c r="L9" i="1"/>
  <c r="L12" i="1"/>
  <c r="L10" i="1"/>
  <c r="L8" i="1"/>
  <c r="L7" i="1"/>
  <c r="J4" i="1"/>
  <c r="G17" i="1"/>
  <c r="G13" i="1"/>
  <c r="G7" i="1"/>
  <c r="G19" i="1"/>
  <c r="G15" i="1"/>
  <c r="G11" i="1"/>
  <c r="G9" i="1"/>
  <c r="G20" i="1"/>
  <c r="G18" i="1"/>
  <c r="G16" i="1"/>
  <c r="G14" i="1"/>
  <c r="G12" i="1"/>
  <c r="G10" i="1"/>
  <c r="G8" i="1"/>
  <c r="G6" i="1"/>
  <c r="G5" i="1"/>
  <c r="D19" i="1"/>
  <c r="D17" i="1"/>
  <c r="D15" i="1"/>
  <c r="D13" i="1"/>
  <c r="D11" i="1"/>
  <c r="D9" i="1"/>
  <c r="D7" i="1"/>
  <c r="D20" i="1"/>
  <c r="D18" i="1"/>
  <c r="D16" i="1"/>
  <c r="D14" i="1"/>
  <c r="D12" i="1"/>
  <c r="D10" i="1"/>
  <c r="D8" i="1"/>
  <c r="D6" i="1"/>
  <c r="D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<sst xmlns="http://schemas.openxmlformats.org/spreadsheetml/2006/main" count="38" uniqueCount="33">
  <si>
    <t>Volume cynlidre</t>
  </si>
  <si>
    <t>r</t>
  </si>
  <si>
    <t>h</t>
  </si>
  <si>
    <t>volume sphere</t>
  </si>
  <si>
    <t>a</t>
  </si>
  <si>
    <t>b</t>
  </si>
  <si>
    <t>valeur essai</t>
  </si>
  <si>
    <t>max</t>
  </si>
  <si>
    <t>c</t>
  </si>
  <si>
    <t>Exercice 1</t>
  </si>
  <si>
    <t>Exercice 2 et 3</t>
  </si>
  <si>
    <t>xp</t>
  </si>
  <si>
    <t>yp</t>
  </si>
  <si>
    <t>x1</t>
  </si>
  <si>
    <t>y1</t>
  </si>
  <si>
    <t>x2</t>
  </si>
  <si>
    <t>y2</t>
  </si>
  <si>
    <t>est dans le rectangle ?</t>
  </si>
  <si>
    <t>Exercice 4</t>
  </si>
  <si>
    <t>n</t>
  </si>
  <si>
    <t>calcul itératif</t>
  </si>
  <si>
    <t>calcul récursif</t>
  </si>
  <si>
    <t>x</t>
  </si>
  <si>
    <t>Exercice 5</t>
  </si>
  <si>
    <t>pgcd</t>
  </si>
  <si>
    <t>Exercice 6</t>
  </si>
  <si>
    <t>Exercice 7</t>
  </si>
  <si>
    <t xml:space="preserve">chaine </t>
  </si>
  <si>
    <t>mirroir itératif</t>
  </si>
  <si>
    <t>mirroir récursif</t>
  </si>
  <si>
    <t>hello world</t>
  </si>
  <si>
    <t>nombre</t>
  </si>
  <si>
    <t>mirroir 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</si>
</sst>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5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</cellStyleXfs>
  <cellXfs count="26">
    <xf numFmtId="0" fontId="0" fillId="0" borderId="0" xfId="0"/>
    <xf numFmtId="0" fontId="1" fillId="3" borderId="3" xfId="2" applyBorder="1"/>
    <xf numFmtId="0" fontId="1" fillId="3" borderId="4" xfId="2" applyBorder="1"/>
    <xf numFmtId="0" fontId="1" fillId="3" borderId="5" xfId="2" applyBorder="1"/>
    <xf numFmtId="0" fontId="0" fillId="0" borderId="0" xfId="0" applyBorder="1"/>
    <xf numFmtId="0" fontId="1" fillId="3" borderId="6" xfId="2" applyBorder="1"/>
    <xf numFmtId="0" fontId="1" fillId="3" borderId="7" xfId="2" applyBorder="1"/>
    <xf numFmtId="0" fontId="1" fillId="3" borderId="8" xfId="2" applyBorder="1"/>
    <xf numFmtId="0" fontId="0" fillId="0" borderId="9" xfId="0" applyBorder="1"/>
    <xf numFmtId="2" fontId="0" fillId="0" borderId="10" xfId="0" applyNumberFormat="1" applyBorder="1"/>
    <xf numFmtId="0" fontId="0" fillId="0" borderId="11" xfId="0" applyBorder="1"/>
    <xf numFmtId="0" fontId="0" fillId="0" borderId="12" xfId="0" applyBorder="1"/>
    <xf numFmtId="2" fontId="0" fillId="0" borderId="13" xfId="0" applyNumberFormat="1" applyBorder="1"/>
    <xf numFmtId="0" fontId="0" fillId="3" borderId="5" xfId="2" applyFont="1" applyBorder="1"/>
    <xf numFmtId="0" fontId="0" fillId="0" borderId="10" xfId="0" applyBorder="1"/>
    <xf numFmtId="0" fontId="0" fillId="0" borderId="13" xfId="0" applyBorder="1"/>
    <xf numFmtId="0" fontId="0" fillId="3" borderId="3" xfId="2" applyFont="1" applyBorder="1"/>
    <xf numFmtId="0" fontId="2" fillId="2" borderId="14" xfId="1" applyBorder="1" applyAlignment="1">
      <alignment horizontal="center"/>
    </xf>
    <xf numFmtId="0" fontId="2" fillId="2" borderId="15" xfId="1" applyBorder="1" applyAlignment="1">
      <alignment horizontal="center"/>
    </xf>
    <xf numFmtId="0" fontId="2" fillId="2" borderId="16" xfId="1" applyBorder="1" applyAlignment="1">
      <alignment horizontal="center"/>
    </xf>
    <xf numFmtId="0" fontId="1" fillId="3" borderId="2" xfId="2" applyBorder="1"/>
    <xf numFmtId="0" fontId="0" fillId="0" borderId="17" xfId="0" applyBorder="1"/>
    <xf numFmtId="0" fontId="0" fillId="0" borderId="11" xfId="0" applyBorder="1" applyAlignment="1">
      <alignment wrapText="1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2" fillId="2" borderId="5" xfId="1" applyBorder="1" applyAlignment="1">
      <alignment horizontal="center"/>
    </xf>
  </cellXfs>
  <cellStyles count="3">
    <cellStyle name="60 % - Accent1" xfId="2" builtinId="32"/>
    <cellStyle name="Entrée" xfId="1" builtinId="20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0DCA-39C0-4823-833A-B8F364412CA0}">
  <sheetPr codeName="Feuil1"/>
  <dimension ref="B1:L62"/>
  <sheetViews>
    <sheetView tabSelected="1" topLeftCell="A42" workbookViewId="0">
      <selection activeCell="I66" sqref="I66"/>
    </sheetView>
  </sheetViews>
  <sheetFormatPr baseColWidth="10" defaultRowHeight="14.4" x14ac:dyDescent="0.3"/>
  <cols>
    <col min="3" max="3" width="12" bestFit="1" customWidth="1"/>
    <col min="4" max="6" width="18.6640625" bestFit="1" customWidth="1"/>
    <col min="7" max="7" width="13.44140625" bestFit="1" customWidth="1"/>
    <col min="8" max="8" width="11.33203125" customWidth="1"/>
    <col min="13" max="13" width="10.5546875" customWidth="1"/>
  </cols>
  <sheetData>
    <row r="1" spans="2:12" ht="15" thickBot="1" x14ac:dyDescent="0.35"/>
    <row r="2" spans="2:12" ht="15" thickBot="1" x14ac:dyDescent="0.35">
      <c r="B2" s="17" t="s">
        <v>9</v>
      </c>
      <c r="C2" s="18"/>
      <c r="D2" s="18"/>
      <c r="E2" s="18"/>
      <c r="F2" s="18"/>
      <c r="G2" s="19"/>
      <c r="I2" s="17" t="s">
        <v>10</v>
      </c>
      <c r="J2" s="18"/>
      <c r="K2" s="18"/>
      <c r="L2" s="19"/>
    </row>
    <row r="3" spans="2:12" ht="15" thickBot="1" x14ac:dyDescent="0.35"/>
    <row r="4" spans="2:12" ht="15" thickBot="1" x14ac:dyDescent="0.35">
      <c r="B4" s="1" t="s">
        <v>1</v>
      </c>
      <c r="C4" s="2" t="s">
        <v>2</v>
      </c>
      <c r="D4" s="3" t="s">
        <v>0</v>
      </c>
      <c r="F4" s="1" t="s">
        <v>1</v>
      </c>
      <c r="G4" s="13" t="s">
        <v>3</v>
      </c>
      <c r="I4" s="16" t="s">
        <v>6</v>
      </c>
      <c r="J4" s="13" cm="1">
        <f t="array" ref="J4">essai()</f>
        <v>49</v>
      </c>
    </row>
    <row r="5" spans="2:12" ht="15" thickBot="1" x14ac:dyDescent="0.35">
      <c r="B5" s="8">
        <v>1</v>
      </c>
      <c r="C5" s="4">
        <v>20</v>
      </c>
      <c r="D5" s="9" cm="1">
        <f t="array" ref="D5">volume_cylindre(B5,C5)</f>
        <v>62.831851959228516</v>
      </c>
      <c r="F5" s="8">
        <v>1</v>
      </c>
      <c r="G5" s="14" cm="1">
        <f t="array" ref="G5">volume_sphere(F5)</f>
        <v>4.1887903213500977</v>
      </c>
    </row>
    <row r="6" spans="2:12" ht="15" thickBot="1" x14ac:dyDescent="0.35">
      <c r="B6" s="8">
        <f>B5+1</f>
        <v>2</v>
      </c>
      <c r="C6" s="4">
        <v>20</v>
      </c>
      <c r="D6" s="9" cm="1">
        <f t="array" ref="D6">volume_cylindre(B6,C6)</f>
        <v>251.32740783691406</v>
      </c>
      <c r="F6" s="8">
        <f>F5+1</f>
        <v>2</v>
      </c>
      <c r="G6" s="14" cm="1">
        <f t="array" ref="G6">volume_sphere(F6)</f>
        <v>33.510322570800781</v>
      </c>
      <c r="I6" s="1" t="s">
        <v>4</v>
      </c>
      <c r="J6" s="2" t="s">
        <v>5</v>
      </c>
      <c r="K6" s="2" t="s">
        <v>8</v>
      </c>
      <c r="L6" s="3" t="s">
        <v>7</v>
      </c>
    </row>
    <row r="7" spans="2:12" x14ac:dyDescent="0.3">
      <c r="B7" s="8">
        <f t="shared" ref="B7:B20" si="0">B6+1</f>
        <v>3</v>
      </c>
      <c r="C7" s="4">
        <v>20</v>
      </c>
      <c r="D7" s="9" cm="1">
        <f t="array" ref="D7">volume_cylindre(B7,C7)</f>
        <v>565.4866943359375</v>
      </c>
      <c r="F7" s="8">
        <f t="shared" ref="F7:F20" si="1">F6+1</f>
        <v>3</v>
      </c>
      <c r="G7" s="14" cm="1">
        <f t="array" ref="G7">volume_sphere(F7)</f>
        <v>113.09733581542969</v>
      </c>
      <c r="I7" s="8">
        <f ca="1">RANDBETWEEN(0,100)</f>
        <v>76</v>
      </c>
      <c r="J7" s="4">
        <f ca="1">RANDBETWEEN(0,100)</f>
        <v>51</v>
      </c>
      <c r="K7" s="4"/>
      <c r="L7" s="14" cm="1">
        <f t="array" aca="1" ref="L7" ca="1">maximum2(I7,J7)</f>
        <v>76</v>
      </c>
    </row>
    <row r="8" spans="2:12" x14ac:dyDescent="0.3">
      <c r="B8" s="8">
        <f t="shared" si="0"/>
        <v>4</v>
      </c>
      <c r="C8" s="4">
        <v>20</v>
      </c>
      <c r="D8" s="9" cm="1">
        <f t="array" ref="D8">volume_cylindre(B8,C8)</f>
        <v>1005.3096313476563</v>
      </c>
      <c r="F8" s="8">
        <f t="shared" si="1"/>
        <v>4</v>
      </c>
      <c r="G8" s="14" cm="1">
        <f t="array" ref="G8">volume_sphere(F8)</f>
        <v>268.08258056640625</v>
      </c>
      <c r="I8" s="8">
        <f t="shared" ref="I8:K20" ca="1" si="2">RANDBETWEEN(0,100)</f>
        <v>33</v>
      </c>
      <c r="J8" s="4">
        <f t="shared" ca="1" si="2"/>
        <v>58</v>
      </c>
      <c r="K8" s="4"/>
      <c r="L8" s="14" cm="1">
        <f t="array" aca="1" ref="L8" ca="1">maximum2(I8,J8)</f>
        <v>58</v>
      </c>
    </row>
    <row r="9" spans="2:12" x14ac:dyDescent="0.3">
      <c r="B9" s="8">
        <f t="shared" si="0"/>
        <v>5</v>
      </c>
      <c r="C9" s="4">
        <v>20</v>
      </c>
      <c r="D9" s="9" cm="1">
        <f t="array" ref="D9">volume_cylindre(B9,C9)</f>
        <v>1570.79638671875</v>
      </c>
      <c r="F9" s="8">
        <f t="shared" si="1"/>
        <v>5</v>
      </c>
      <c r="G9" s="14" cm="1">
        <f t="array" ref="G9">volume_sphere(F9)</f>
        <v>523.5987548828125</v>
      </c>
      <c r="I9" s="8">
        <f t="shared" ca="1" si="2"/>
        <v>22</v>
      </c>
      <c r="J9" s="4">
        <f t="shared" ca="1" si="2"/>
        <v>64</v>
      </c>
      <c r="K9" s="4"/>
      <c r="L9" s="14" cm="1">
        <f t="array" aca="1" ref="L9" ca="1">maximum2(I9,J9)</f>
        <v>64</v>
      </c>
    </row>
    <row r="10" spans="2:12" x14ac:dyDescent="0.3">
      <c r="B10" s="8">
        <f t="shared" si="0"/>
        <v>6</v>
      </c>
      <c r="C10" s="4">
        <v>20</v>
      </c>
      <c r="D10" s="9" cm="1">
        <f t="array" ref="D10">volume_cylindre(B10,C10)</f>
        <v>2261.94677734375</v>
      </c>
      <c r="F10" s="8">
        <f t="shared" si="1"/>
        <v>6</v>
      </c>
      <c r="G10" s="14" cm="1">
        <f t="array" ref="G10">volume_sphere(F10)</f>
        <v>904.7786865234375</v>
      </c>
      <c r="I10" s="8">
        <f t="shared" ca="1" si="2"/>
        <v>17</v>
      </c>
      <c r="J10" s="4">
        <f t="shared" ca="1" si="2"/>
        <v>89</v>
      </c>
      <c r="K10" s="4"/>
      <c r="L10" s="14" cm="1">
        <f t="array" aca="1" ref="L10" ca="1">maximum2(I10,J10)</f>
        <v>89</v>
      </c>
    </row>
    <row r="11" spans="2:12" x14ac:dyDescent="0.3">
      <c r="B11" s="8">
        <f t="shared" si="0"/>
        <v>7</v>
      </c>
      <c r="C11" s="4">
        <v>20</v>
      </c>
      <c r="D11" s="9" cm="1">
        <f t="array" ref="D11">volume_cylindre(B11,C11)</f>
        <v>3078.7607421875</v>
      </c>
      <c r="F11" s="8">
        <f t="shared" si="1"/>
        <v>7</v>
      </c>
      <c r="G11" s="14" cm="1">
        <f t="array" ref="G11">volume_sphere(F11)</f>
        <v>1436.7550048828125</v>
      </c>
      <c r="I11" s="8">
        <f t="shared" ca="1" si="2"/>
        <v>36</v>
      </c>
      <c r="J11" s="4">
        <f t="shared" ca="1" si="2"/>
        <v>73</v>
      </c>
      <c r="K11" s="4"/>
      <c r="L11" s="14" cm="1">
        <f t="array" aca="1" ref="L11" ca="1">maximum2(I11,J11)</f>
        <v>73</v>
      </c>
    </row>
    <row r="12" spans="2:12" x14ac:dyDescent="0.3">
      <c r="B12" s="8">
        <f t="shared" si="0"/>
        <v>8</v>
      </c>
      <c r="C12" s="4">
        <v>20</v>
      </c>
      <c r="D12" s="9" cm="1">
        <f t="array" ref="D12">volume_cylindre(B12,C12)</f>
        <v>4021.238525390625</v>
      </c>
      <c r="F12" s="8">
        <f t="shared" si="1"/>
        <v>8</v>
      </c>
      <c r="G12" s="14" cm="1">
        <f t="array" ref="G12">volume_sphere(F12)</f>
        <v>2144.66064453125</v>
      </c>
      <c r="I12" s="8">
        <f t="shared" ca="1" si="2"/>
        <v>69</v>
      </c>
      <c r="J12" s="4">
        <f t="shared" ca="1" si="2"/>
        <v>47</v>
      </c>
      <c r="K12" s="4"/>
      <c r="L12" s="14" cm="1">
        <f t="array" aca="1" ref="L12" ca="1">maximum2(I12,J12)</f>
        <v>69</v>
      </c>
    </row>
    <row r="13" spans="2:12" x14ac:dyDescent="0.3">
      <c r="B13" s="8">
        <f t="shared" si="0"/>
        <v>9</v>
      </c>
      <c r="C13" s="4">
        <v>20</v>
      </c>
      <c r="D13" s="9" cm="1">
        <f t="array" ref="D13">volume_cylindre(B13,C13)</f>
        <v>5089.3798828125</v>
      </c>
      <c r="F13" s="8">
        <f t="shared" si="1"/>
        <v>9</v>
      </c>
      <c r="G13" s="14" cm="1">
        <f t="array" ref="G13">volume_sphere(F13)</f>
        <v>3053.628173828125</v>
      </c>
      <c r="I13" s="8">
        <f t="shared" ca="1" si="2"/>
        <v>97</v>
      </c>
      <c r="J13" s="4">
        <f t="shared" ca="1" si="2"/>
        <v>31</v>
      </c>
      <c r="K13" s="4"/>
      <c r="L13" s="14" cm="1">
        <f t="array" aca="1" ref="L13" ca="1">maximum2(I13,J13)</f>
        <v>97</v>
      </c>
    </row>
    <row r="14" spans="2:12" x14ac:dyDescent="0.3">
      <c r="B14" s="8">
        <f t="shared" si="0"/>
        <v>10</v>
      </c>
      <c r="C14" s="4">
        <v>20</v>
      </c>
      <c r="D14" s="9" cm="1">
        <f t="array" ref="D14">volume_cylindre(B14,C14)</f>
        <v>6283.185546875</v>
      </c>
      <c r="F14" s="8">
        <f t="shared" si="1"/>
        <v>10</v>
      </c>
      <c r="G14" s="14" cm="1">
        <f t="array" ref="G14">volume_sphere(F14)</f>
        <v>4188.7900390625</v>
      </c>
      <c r="I14" s="8">
        <f t="shared" ca="1" si="2"/>
        <v>14</v>
      </c>
      <c r="J14" s="4">
        <f t="shared" ca="1" si="2"/>
        <v>12</v>
      </c>
      <c r="K14" s="4">
        <f t="shared" ca="1" si="2"/>
        <v>32</v>
      </c>
      <c r="L14" s="14" cm="1">
        <f t="array" aca="1" ref="L14" ca="1">maximum3(I14,J14,K14)</f>
        <v>32</v>
      </c>
    </row>
    <row r="15" spans="2:12" x14ac:dyDescent="0.3">
      <c r="B15" s="8">
        <f t="shared" si="0"/>
        <v>11</v>
      </c>
      <c r="C15" s="4">
        <v>20</v>
      </c>
      <c r="D15" s="9" cm="1">
        <f t="array" ref="D15">volume_cylindre(B15,C15)</f>
        <v>7602.654296875</v>
      </c>
      <c r="F15" s="8">
        <f t="shared" si="1"/>
        <v>11</v>
      </c>
      <c r="G15" s="14" cm="1">
        <f t="array" ref="G15">volume_sphere(F15)</f>
        <v>5575.27978515625</v>
      </c>
      <c r="I15" s="8">
        <f t="shared" ca="1" si="2"/>
        <v>89</v>
      </c>
      <c r="J15" s="4">
        <f t="shared" ca="1" si="2"/>
        <v>1</v>
      </c>
      <c r="K15" s="4">
        <f t="shared" ca="1" si="2"/>
        <v>29</v>
      </c>
      <c r="L15" s="14" cm="1">
        <f t="array" aca="1" ref="L15" ca="1">maximum3(I15,J15,K15)</f>
        <v>89</v>
      </c>
    </row>
    <row r="16" spans="2:12" x14ac:dyDescent="0.3">
      <c r="B16" s="8">
        <f t="shared" si="0"/>
        <v>12</v>
      </c>
      <c r="C16" s="4">
        <v>20</v>
      </c>
      <c r="D16" s="9" cm="1">
        <f t="array" ref="D16">volume_cylindre(B16,C16)</f>
        <v>9047.787109375</v>
      </c>
      <c r="F16" s="8">
        <f t="shared" si="1"/>
        <v>12</v>
      </c>
      <c r="G16" s="14" cm="1">
        <f t="array" ref="G16">volume_sphere(F16)</f>
        <v>7238.2294921875</v>
      </c>
      <c r="I16" s="8">
        <f t="shared" ca="1" si="2"/>
        <v>27</v>
      </c>
      <c r="J16" s="4">
        <f t="shared" ca="1" si="2"/>
        <v>9</v>
      </c>
      <c r="K16" s="4">
        <f t="shared" ca="1" si="2"/>
        <v>91</v>
      </c>
      <c r="L16" s="14" cm="1">
        <f t="array" aca="1" ref="L16" ca="1">maximum3(I16,J16,K16)</f>
        <v>91</v>
      </c>
    </row>
    <row r="17" spans="2:12" x14ac:dyDescent="0.3">
      <c r="B17" s="8">
        <f t="shared" si="0"/>
        <v>13</v>
      </c>
      <c r="C17" s="4">
        <v>20</v>
      </c>
      <c r="D17" s="9" cm="1">
        <f t="array" ref="D17">volume_cylindre(B17,C17)</f>
        <v>10618.5830078125</v>
      </c>
      <c r="F17" s="8">
        <f t="shared" si="1"/>
        <v>13</v>
      </c>
      <c r="G17" s="14" cm="1">
        <f t="array" ref="G17">volume_sphere(F17)</f>
        <v>9202.7724609375</v>
      </c>
      <c r="I17" s="8">
        <f t="shared" ca="1" si="2"/>
        <v>10</v>
      </c>
      <c r="J17" s="4">
        <f t="shared" ca="1" si="2"/>
        <v>6</v>
      </c>
      <c r="K17" s="4">
        <f t="shared" ca="1" si="2"/>
        <v>35</v>
      </c>
      <c r="L17" s="14" cm="1">
        <f t="array" aca="1" ref="L17" ca="1">maximum3(I17,J17,K17)</f>
        <v>35</v>
      </c>
    </row>
    <row r="18" spans="2:12" x14ac:dyDescent="0.3">
      <c r="B18" s="8">
        <f t="shared" si="0"/>
        <v>14</v>
      </c>
      <c r="C18" s="4">
        <v>20</v>
      </c>
      <c r="D18" s="9" cm="1">
        <f t="array" ref="D18">volume_cylindre(B18,C18)</f>
        <v>12315.04296875</v>
      </c>
      <c r="F18" s="8">
        <f t="shared" si="1"/>
        <v>14</v>
      </c>
      <c r="G18" s="14" cm="1">
        <f t="array" ref="G18">volume_sphere(F18)</f>
        <v>11494.0400390625</v>
      </c>
      <c r="I18" s="8">
        <f t="shared" ca="1" si="2"/>
        <v>10</v>
      </c>
      <c r="J18" s="4">
        <f t="shared" ca="1" si="2"/>
        <v>88</v>
      </c>
      <c r="K18" s="4">
        <f t="shared" ca="1" si="2"/>
        <v>40</v>
      </c>
      <c r="L18" s="14" cm="1">
        <f t="array" aca="1" ref="L18" ca="1">maximum3(I18,J18,K18)</f>
        <v>88</v>
      </c>
    </row>
    <row r="19" spans="2:12" x14ac:dyDescent="0.3">
      <c r="B19" s="8">
        <f t="shared" si="0"/>
        <v>15</v>
      </c>
      <c r="C19" s="4">
        <v>20</v>
      </c>
      <c r="D19" s="9" cm="1">
        <f t="array" ref="D19">volume_cylindre(B19,C19)</f>
        <v>14137.1669921875</v>
      </c>
      <c r="F19" s="8">
        <f t="shared" si="1"/>
        <v>15</v>
      </c>
      <c r="G19" s="14" cm="1">
        <f t="array" ref="G19">volume_sphere(F19)</f>
        <v>14137.1669921875</v>
      </c>
      <c r="I19" s="8">
        <f t="shared" ca="1" si="2"/>
        <v>52</v>
      </c>
      <c r="J19" s="4">
        <f t="shared" ca="1" si="2"/>
        <v>22</v>
      </c>
      <c r="K19" s="4">
        <f t="shared" ca="1" si="2"/>
        <v>22</v>
      </c>
      <c r="L19" s="14" cm="1">
        <f t="array" aca="1" ref="L19" ca="1">maximum3(I19,J19,K19)</f>
        <v>52</v>
      </c>
    </row>
    <row r="20" spans="2:12" ht="15" thickBot="1" x14ac:dyDescent="0.35">
      <c r="B20" s="10">
        <f t="shared" si="0"/>
        <v>16</v>
      </c>
      <c r="C20" s="11">
        <v>20</v>
      </c>
      <c r="D20" s="12" cm="1">
        <f t="array" ref="D20">volume_cylindre(B20,C20)</f>
        <v>16084.9541015625</v>
      </c>
      <c r="F20" s="10">
        <f t="shared" si="1"/>
        <v>16</v>
      </c>
      <c r="G20" s="15" cm="1">
        <f t="array" ref="G20">volume_sphere(F20)</f>
        <v>17157.28515625</v>
      </c>
      <c r="I20" s="10">
        <f t="shared" ca="1" si="2"/>
        <v>46</v>
      </c>
      <c r="J20" s="11">
        <f t="shared" ca="1" si="2"/>
        <v>82</v>
      </c>
      <c r="K20" s="11">
        <f t="shared" ca="1" si="2"/>
        <v>25</v>
      </c>
      <c r="L20" s="15" cm="1">
        <f t="array" aca="1" ref="L20" ca="1">maximum3(I20,J20,K20)</f>
        <v>82</v>
      </c>
    </row>
    <row r="22" spans="2:12" ht="15" thickBot="1" x14ac:dyDescent="0.35"/>
    <row r="23" spans="2:12" ht="15" thickBot="1" x14ac:dyDescent="0.35">
      <c r="B23" s="17" t="s">
        <v>18</v>
      </c>
      <c r="C23" s="18"/>
      <c r="D23" s="18"/>
      <c r="E23" s="18"/>
      <c r="F23" s="18"/>
      <c r="G23" s="18"/>
      <c r="H23" s="18"/>
      <c r="I23" s="18"/>
      <c r="J23" s="18"/>
      <c r="K23" s="19"/>
    </row>
    <row r="24" spans="2:12" ht="15" thickBot="1" x14ac:dyDescent="0.35"/>
    <row r="25" spans="2:12" ht="15" thickBot="1" x14ac:dyDescent="0.35">
      <c r="B25" s="1" t="s">
        <v>11</v>
      </c>
      <c r="C25" s="2" t="s">
        <v>12</v>
      </c>
      <c r="D25" s="2" t="s">
        <v>17</v>
      </c>
      <c r="E25" s="2" t="s">
        <v>17</v>
      </c>
      <c r="F25" s="3" t="s">
        <v>17</v>
      </c>
      <c r="H25" s="5" t="s">
        <v>13</v>
      </c>
      <c r="I25" s="6" t="s">
        <v>14</v>
      </c>
      <c r="J25" s="6" t="s">
        <v>15</v>
      </c>
      <c r="K25" s="7" t="s">
        <v>16</v>
      </c>
    </row>
    <row r="26" spans="2:12" ht="15" thickBot="1" x14ac:dyDescent="0.35">
      <c r="B26" s="8">
        <f ca="1">RANDBETWEEN(0,20)</f>
        <v>17</v>
      </c>
      <c r="C26" s="4">
        <f ca="1">RANDBETWEEN(0,20)</f>
        <v>1</v>
      </c>
      <c r="D26" s="4" t="b" cm="1">
        <f t="array" aca="1" ref="D26" ca="1">estDansRectangle($H$26,$I$26,$J$26,$K$26,$B26,$C26)</f>
        <v>0</v>
      </c>
      <c r="E26" s="4" t="b" cm="1">
        <f t="array" aca="1" ref="E26" ca="1">estDansRectangle2($H$26,$I$26,$J$26,$K$26,$B26,$C26)</f>
        <v>0</v>
      </c>
      <c r="F26" s="14" t="b" cm="1">
        <f t="array" aca="1" ref="F26" ca="1">estDansRectangle3($H$26,$I$26,$J$26,$K$26,$B26,$C26)</f>
        <v>0</v>
      </c>
      <c r="H26" s="10">
        <v>0</v>
      </c>
      <c r="I26" s="11">
        <v>0</v>
      </c>
      <c r="J26" s="11">
        <v>10</v>
      </c>
      <c r="K26" s="15">
        <v>10</v>
      </c>
    </row>
    <row r="27" spans="2:12" x14ac:dyDescent="0.3">
      <c r="B27" s="8">
        <f t="shared" ref="B27:C39" ca="1" si="3">RANDBETWEEN(0,20)</f>
        <v>13</v>
      </c>
      <c r="C27" s="4">
        <f t="shared" ca="1" si="3"/>
        <v>11</v>
      </c>
      <c r="D27" s="4" t="b" cm="1">
        <f t="array" aca="1" ref="D27" ca="1">estDansRectangle($H$26,$I$26,$J$26,$K$26,$B27,$C27)</f>
        <v>0</v>
      </c>
      <c r="E27" s="4" t="b" cm="1">
        <f t="array" aca="1" ref="E27" ca="1">estDansRectangle2($H$26,$I$26,$J$26,$K$26,$B27,$C27)</f>
        <v>0</v>
      </c>
      <c r="F27" s="14" t="b" cm="1">
        <f t="array" aca="1" ref="F27" ca="1">estDansRectangle3($H$26,$I$26,$J$26,$K$26,$B27,$C27)</f>
        <v>0</v>
      </c>
    </row>
    <row r="28" spans="2:12" x14ac:dyDescent="0.3">
      <c r="B28" s="8">
        <f t="shared" ca="1" si="3"/>
        <v>8</v>
      </c>
      <c r="C28" s="4">
        <f t="shared" ca="1" si="3"/>
        <v>17</v>
      </c>
      <c r="D28" s="4" t="b" cm="1">
        <f t="array" aca="1" ref="D28" ca="1">estDansRectangle($H$26,$I$26,$J$26,$K$26,$B28,$C28)</f>
        <v>0</v>
      </c>
      <c r="E28" s="4" t="b" cm="1">
        <f t="array" aca="1" ref="E28" ca="1">estDansRectangle2($H$26,$I$26,$J$26,$K$26,$B28,$C28)</f>
        <v>0</v>
      </c>
      <c r="F28" s="14" t="b" cm="1">
        <f t="array" aca="1" ref="F28" ca="1">estDansRectangle3($H$26,$I$26,$J$26,$K$26,$B28,$C28)</f>
        <v>0</v>
      </c>
    </row>
    <row r="29" spans="2:12" x14ac:dyDescent="0.3">
      <c r="B29" s="8">
        <f t="shared" ca="1" si="3"/>
        <v>14</v>
      </c>
      <c r="C29" s="4">
        <f t="shared" ca="1" si="3"/>
        <v>13</v>
      </c>
      <c r="D29" s="4" t="b" cm="1">
        <f t="array" aca="1" ref="D29" ca="1">estDansRectangle($H$26,$I$26,$J$26,$K$26,$B29,$C29)</f>
        <v>0</v>
      </c>
      <c r="E29" s="4" t="b" cm="1">
        <f t="array" aca="1" ref="E29" ca="1">estDansRectangle2($H$26,$I$26,$J$26,$K$26,$B29,$C29)</f>
        <v>0</v>
      </c>
      <c r="F29" s="14" t="b" cm="1">
        <f t="array" aca="1" ref="F29" ca="1">estDansRectangle3($H$26,$I$26,$J$26,$K$26,$B29,$C29)</f>
        <v>0</v>
      </c>
    </row>
    <row r="30" spans="2:12" x14ac:dyDescent="0.3">
      <c r="B30" s="8">
        <f t="shared" ca="1" si="3"/>
        <v>2</v>
      </c>
      <c r="C30" s="4">
        <f t="shared" ca="1" si="3"/>
        <v>6</v>
      </c>
      <c r="D30" s="4" t="b" cm="1">
        <f t="array" aca="1" ref="D30" ca="1">estDansRectangle($H$26,$I$26,$J$26,$K$26,$B30,$C30)</f>
        <v>1</v>
      </c>
      <c r="E30" s="4" t="b" cm="1">
        <f t="array" aca="1" ref="E30" ca="1">estDansRectangle2($H$26,$I$26,$J$26,$K$26,$B30,$C30)</f>
        <v>1</v>
      </c>
      <c r="F30" s="14" t="b" cm="1">
        <f t="array" aca="1" ref="F30" ca="1">estDansRectangle3($H$26,$I$26,$J$26,$K$26,$B30,$C30)</f>
        <v>1</v>
      </c>
    </row>
    <row r="31" spans="2:12" x14ac:dyDescent="0.3">
      <c r="B31" s="8">
        <f t="shared" ca="1" si="3"/>
        <v>11</v>
      </c>
      <c r="C31" s="4">
        <f t="shared" ca="1" si="3"/>
        <v>1</v>
      </c>
      <c r="D31" s="4" t="b" cm="1">
        <f t="array" aca="1" ref="D31" ca="1">estDansRectangle($H$26,$I$26,$J$26,$K$26,$B31,$C31)</f>
        <v>0</v>
      </c>
      <c r="E31" s="4" t="b" cm="1">
        <f t="array" aca="1" ref="E31" ca="1">estDansRectangle2($H$26,$I$26,$J$26,$K$26,$B31,$C31)</f>
        <v>0</v>
      </c>
      <c r="F31" s="14" t="b" cm="1">
        <f t="array" aca="1" ref="F31" ca="1">estDansRectangle3($H$26,$I$26,$J$26,$K$26,$B31,$C31)</f>
        <v>0</v>
      </c>
    </row>
    <row r="32" spans="2:12" x14ac:dyDescent="0.3">
      <c r="B32" s="8">
        <f t="shared" ca="1" si="3"/>
        <v>9</v>
      </c>
      <c r="C32" s="4">
        <f t="shared" ca="1" si="3"/>
        <v>14</v>
      </c>
      <c r="D32" s="4" t="b" cm="1">
        <f t="array" aca="1" ref="D32" ca="1">estDansRectangle($H$26,$I$26,$J$26,$K$26,$B32,$C32)</f>
        <v>0</v>
      </c>
      <c r="E32" s="4" t="b" cm="1">
        <f t="array" aca="1" ref="E32" ca="1">estDansRectangle2($H$26,$I$26,$J$26,$K$26,$B32,$C32)</f>
        <v>0</v>
      </c>
      <c r="F32" s="14" t="b" cm="1">
        <f t="array" aca="1" ref="F32" ca="1">estDansRectangle3($H$26,$I$26,$J$26,$K$26,$B32,$C32)</f>
        <v>0</v>
      </c>
    </row>
    <row r="33" spans="2:10" x14ac:dyDescent="0.3">
      <c r="B33" s="8">
        <f t="shared" ca="1" si="3"/>
        <v>17</v>
      </c>
      <c r="C33" s="4">
        <f t="shared" ca="1" si="3"/>
        <v>11</v>
      </c>
      <c r="D33" s="4" t="b" cm="1">
        <f t="array" aca="1" ref="D33" ca="1">estDansRectangle($H$26,$I$26,$J$26,$K$26,$B33,$C33)</f>
        <v>0</v>
      </c>
      <c r="E33" s="4" t="b" cm="1">
        <f t="array" aca="1" ref="E33" ca="1">estDansRectangle2($H$26,$I$26,$J$26,$K$26,$B33,$C33)</f>
        <v>0</v>
      </c>
      <c r="F33" s="14" t="b" cm="1">
        <f t="array" aca="1" ref="F33" ca="1">estDansRectangle3($H$26,$I$26,$J$26,$K$26,$B33,$C33)</f>
        <v>0</v>
      </c>
    </row>
    <row r="34" spans="2:10" x14ac:dyDescent="0.3">
      <c r="B34" s="8">
        <f t="shared" ca="1" si="3"/>
        <v>3</v>
      </c>
      <c r="C34" s="4">
        <f t="shared" ca="1" si="3"/>
        <v>5</v>
      </c>
      <c r="D34" s="4" t="b" cm="1">
        <f t="array" aca="1" ref="D34" ca="1">estDansRectangle($H$26,$I$26,$J$26,$K$26,$B34,$C34)</f>
        <v>1</v>
      </c>
      <c r="E34" s="4" t="b" cm="1">
        <f t="array" aca="1" ref="E34" ca="1">estDansRectangle2($H$26,$I$26,$J$26,$K$26,$B34,$C34)</f>
        <v>1</v>
      </c>
      <c r="F34" s="14" t="b" cm="1">
        <f t="array" aca="1" ref="F34" ca="1">estDansRectangle3($H$26,$I$26,$J$26,$K$26,$B34,$C34)</f>
        <v>1</v>
      </c>
    </row>
    <row r="35" spans="2:10" x14ac:dyDescent="0.3">
      <c r="B35" s="8">
        <f t="shared" ca="1" si="3"/>
        <v>1</v>
      </c>
      <c r="C35" s="4">
        <f t="shared" ca="1" si="3"/>
        <v>8</v>
      </c>
      <c r="D35" s="4" t="b" cm="1">
        <f t="array" aca="1" ref="D35" ca="1">estDansRectangle($H$26,$I$26,$J$26,$K$26,$B35,$C35)</f>
        <v>1</v>
      </c>
      <c r="E35" s="4" t="b" cm="1">
        <f t="array" aca="1" ref="E35" ca="1">estDansRectangle2($H$26,$I$26,$J$26,$K$26,$B35,$C35)</f>
        <v>1</v>
      </c>
      <c r="F35" s="14" t="b" cm="1">
        <f t="array" aca="1" ref="F35" ca="1">estDansRectangle3($H$26,$I$26,$J$26,$K$26,$B35,$C35)</f>
        <v>1</v>
      </c>
    </row>
    <row r="36" spans="2:10" x14ac:dyDescent="0.3">
      <c r="B36" s="8">
        <f t="shared" ca="1" si="3"/>
        <v>1</v>
      </c>
      <c r="C36" s="4">
        <f t="shared" ca="1" si="3"/>
        <v>2</v>
      </c>
      <c r="D36" s="4" t="b" cm="1">
        <f t="array" aca="1" ref="D36" ca="1">estDansRectangle($H$26,$I$26,$J$26,$K$26,$B36,$C36)</f>
        <v>1</v>
      </c>
      <c r="E36" s="4" t="b" cm="1">
        <f t="array" aca="1" ref="E36" ca="1">estDansRectangle2($H$26,$I$26,$J$26,$K$26,$B36,$C36)</f>
        <v>1</v>
      </c>
      <c r="F36" s="14" t="b" cm="1">
        <f t="array" aca="1" ref="F36" ca="1">estDansRectangle3($H$26,$I$26,$J$26,$K$26,$B36,$C36)</f>
        <v>1</v>
      </c>
    </row>
    <row r="37" spans="2:10" x14ac:dyDescent="0.3">
      <c r="B37" s="8">
        <f t="shared" ca="1" si="3"/>
        <v>5</v>
      </c>
      <c r="C37" s="4">
        <f t="shared" ca="1" si="3"/>
        <v>15</v>
      </c>
      <c r="D37" s="4" t="b" cm="1">
        <f t="array" aca="1" ref="D37" ca="1">estDansRectangle($H$26,$I$26,$J$26,$K$26,$B37,$C37)</f>
        <v>0</v>
      </c>
      <c r="E37" s="4" t="b" cm="1">
        <f t="array" aca="1" ref="E37" ca="1">estDansRectangle2($H$26,$I$26,$J$26,$K$26,$B37,$C37)</f>
        <v>0</v>
      </c>
      <c r="F37" s="14" t="b" cm="1">
        <f t="array" aca="1" ref="F37" ca="1">estDansRectangle3($H$26,$I$26,$J$26,$K$26,$B37,$C37)</f>
        <v>0</v>
      </c>
    </row>
    <row r="38" spans="2:10" x14ac:dyDescent="0.3">
      <c r="B38" s="8">
        <f t="shared" ca="1" si="3"/>
        <v>5</v>
      </c>
      <c r="C38" s="4">
        <f t="shared" ca="1" si="3"/>
        <v>4</v>
      </c>
      <c r="D38" s="4" t="b" cm="1">
        <f t="array" aca="1" ref="D38" ca="1">estDansRectangle($H$26,$I$26,$J$26,$K$26,$B38,$C38)</f>
        <v>1</v>
      </c>
      <c r="E38" s="4" t="b" cm="1">
        <f t="array" aca="1" ref="E38" ca="1">estDansRectangle2($H$26,$I$26,$J$26,$K$26,$B38,$C38)</f>
        <v>1</v>
      </c>
      <c r="F38" s="14" t="b" cm="1">
        <f t="array" aca="1" ref="F38" ca="1">estDansRectangle3($H$26,$I$26,$J$26,$K$26,$B38,$C38)</f>
        <v>1</v>
      </c>
    </row>
    <row r="39" spans="2:10" ht="15" thickBot="1" x14ac:dyDescent="0.35">
      <c r="B39" s="10">
        <f t="shared" ca="1" si="3"/>
        <v>12</v>
      </c>
      <c r="C39" s="11">
        <f t="shared" ca="1" si="3"/>
        <v>5</v>
      </c>
      <c r="D39" s="11" t="b" cm="1">
        <f t="array" aca="1" ref="D39" ca="1">estDansRectangle($H$26,$I$26,$J$26,$K$26,$B39,$C39)</f>
        <v>0</v>
      </c>
      <c r="E39" s="11" t="b" cm="1">
        <f t="array" aca="1" ref="E39" ca="1">estDansRectangle2($H$26,$I$26,$J$26,$K$26,$B39,$C39)</f>
        <v>0</v>
      </c>
      <c r="F39" s="15" t="b" cm="1">
        <f t="array" aca="1" ref="F39" ca="1">estDansRectangle3($H$26,$I$26,$J$26,$K$26,$B39,$C39)</f>
        <v>0</v>
      </c>
    </row>
    <row r="41" spans="2:10" ht="15" thickBot="1" x14ac:dyDescent="0.35"/>
    <row r="42" spans="2:10" ht="15" thickBot="1" x14ac:dyDescent="0.35">
      <c r="B42" s="17" t="s">
        <v>23</v>
      </c>
      <c r="C42" s="18"/>
      <c r="D42" s="18"/>
      <c r="E42" s="18"/>
      <c r="F42" s="19"/>
      <c r="H42" s="17" t="s">
        <v>25</v>
      </c>
      <c r="I42" s="18"/>
      <c r="J42" s="19"/>
    </row>
    <row r="43" spans="2:10" ht="15" thickBot="1" x14ac:dyDescent="0.35"/>
    <row r="44" spans="2:10" ht="15" thickBot="1" x14ac:dyDescent="0.35">
      <c r="B44" s="1" t="s">
        <v>19</v>
      </c>
      <c r="C44" s="2" t="s">
        <v>20</v>
      </c>
      <c r="D44" s="3" t="s">
        <v>21</v>
      </c>
      <c r="F44" s="20" t="s">
        <v>22</v>
      </c>
      <c r="H44" s="1" t="s">
        <v>4</v>
      </c>
      <c r="I44" s="2" t="s">
        <v>5</v>
      </c>
      <c r="J44" s="3" t="s">
        <v>24</v>
      </c>
    </row>
    <row r="45" spans="2:10" ht="15" thickBot="1" x14ac:dyDescent="0.35">
      <c r="B45" s="8">
        <v>1</v>
      </c>
      <c r="C45" s="4" cm="1">
        <f t="array" aca="1" ref="C45" ca="1">calcul_polynome($F$45,B45)</f>
        <v>16</v>
      </c>
      <c r="D45" s="14" cm="1">
        <f t="array" aca="1" ref="D45" ca="1">calcul_polynome_rec($F$45,B45)</f>
        <v>16</v>
      </c>
      <c r="F45" s="21">
        <f ca="1" xml:space="preserve"> RANDBETWEEN(0,100)</f>
        <v>15</v>
      </c>
      <c r="H45" s="8">
        <f ca="1">RANDBETWEEN(1,1000)</f>
        <v>747</v>
      </c>
      <c r="I45" s="4">
        <f ca="1">RANDBETWEEN(1,1000)</f>
        <v>463</v>
      </c>
      <c r="J45" s="14" cm="1">
        <f t="array" aca="1" ref="J45" ca="1">plusgcd(H45,I45)</f>
        <v>1</v>
      </c>
    </row>
    <row r="46" spans="2:10" x14ac:dyDescent="0.3">
      <c r="B46" s="8">
        <f>B45+1</f>
        <v>2</v>
      </c>
      <c r="C46" s="4" cm="1">
        <f t="array" aca="1" ref="C46" ca="1">calcul_polynome($F$45,B46)</f>
        <v>241</v>
      </c>
      <c r="D46" s="14" cm="1">
        <f t="array" aca="1" ref="D46" ca="1">calcul_polynome_rec($F$45,B46)</f>
        <v>241</v>
      </c>
      <c r="H46" s="8">
        <f t="shared" ref="H46:I56" ca="1" si="4">RANDBETWEEN(1,1000)</f>
        <v>869</v>
      </c>
      <c r="I46" s="4">
        <f t="shared" ca="1" si="4"/>
        <v>467</v>
      </c>
      <c r="J46" s="14" cm="1">
        <f t="array" aca="1" ref="J46" ca="1">plusgcd(H46,I46)</f>
        <v>1</v>
      </c>
    </row>
    <row r="47" spans="2:10" x14ac:dyDescent="0.3">
      <c r="B47" s="8">
        <f t="shared" ref="B47:B56" si="5">B46+1</f>
        <v>3</v>
      </c>
      <c r="C47" s="4" cm="1">
        <f t="array" aca="1" ref="C47" ca="1">calcul_polynome($F$45,B47)</f>
        <v>3616</v>
      </c>
      <c r="D47" s="14" cm="1">
        <f t="array" aca="1" ref="D47" ca="1">calcul_polynome_rec($F$45,B47)</f>
        <v>3616</v>
      </c>
      <c r="H47" s="8">
        <f t="shared" ca="1" si="4"/>
        <v>763</v>
      </c>
      <c r="I47" s="4">
        <f t="shared" ca="1" si="4"/>
        <v>714</v>
      </c>
      <c r="J47" s="14" cm="1">
        <f t="array" aca="1" ref="J47" ca="1">plusgcd(H47,I47)</f>
        <v>7</v>
      </c>
    </row>
    <row r="48" spans="2:10" x14ac:dyDescent="0.3">
      <c r="B48" s="8">
        <f t="shared" si="5"/>
        <v>4</v>
      </c>
      <c r="C48" s="4" cm="1">
        <f t="array" aca="1" ref="C48" ca="1">calcul_polynome($F$45,B48)</f>
        <v>54241</v>
      </c>
      <c r="D48" s="14" cm="1">
        <f t="array" aca="1" ref="D48" ca="1">calcul_polynome_rec($F$45,B48)</f>
        <v>54241</v>
      </c>
      <c r="H48" s="8">
        <f t="shared" ca="1" si="4"/>
        <v>416</v>
      </c>
      <c r="I48" s="4">
        <f t="shared" ca="1" si="4"/>
        <v>85</v>
      </c>
      <c r="J48" s="14" cm="1">
        <f t="array" aca="1" ref="J48" ca="1">plusgcd(H48,I48)</f>
        <v>1</v>
      </c>
    </row>
    <row r="49" spans="2:10" x14ac:dyDescent="0.3">
      <c r="B49" s="8">
        <f t="shared" si="5"/>
        <v>5</v>
      </c>
      <c r="C49" s="4" cm="1">
        <f t="array" aca="1" ref="C49" ca="1">calcul_polynome($F$45,B49)</f>
        <v>813616</v>
      </c>
      <c r="D49" s="14" cm="1">
        <f t="array" aca="1" ref="D49" ca="1">calcul_polynome_rec($F$45,B49)</f>
        <v>813616</v>
      </c>
      <c r="H49" s="8">
        <f t="shared" ca="1" si="4"/>
        <v>377</v>
      </c>
      <c r="I49" s="4">
        <f t="shared" ca="1" si="4"/>
        <v>808</v>
      </c>
      <c r="J49" s="14" cm="1">
        <f t="array" aca="1" ref="J49" ca="1">plusgcd(H49,I49)</f>
        <v>1</v>
      </c>
    </row>
    <row r="50" spans="2:10" x14ac:dyDescent="0.3">
      <c r="B50" s="8">
        <f t="shared" si="5"/>
        <v>6</v>
      </c>
      <c r="C50" s="4" cm="1">
        <f t="array" aca="1" ref="C50" ca="1">calcul_polynome($F$45,B50)</f>
        <v>12204241</v>
      </c>
      <c r="D50" s="14" cm="1">
        <f t="array" aca="1" ref="D50" ca="1">calcul_polynome_rec($F$45,B50)</f>
        <v>12204241</v>
      </c>
      <c r="H50" s="8">
        <f t="shared" ca="1" si="4"/>
        <v>8</v>
      </c>
      <c r="I50" s="4">
        <f t="shared" ca="1" si="4"/>
        <v>524</v>
      </c>
      <c r="J50" s="14" cm="1">
        <f t="array" aca="1" ref="J50" ca="1">plusgcd(H50,I50)</f>
        <v>4</v>
      </c>
    </row>
    <row r="51" spans="2:10" x14ac:dyDescent="0.3">
      <c r="B51" s="8">
        <f t="shared" si="5"/>
        <v>7</v>
      </c>
      <c r="C51" s="4" cm="1">
        <f t="array" aca="1" ref="C51" ca="1">calcul_polynome($F$45,B51)</f>
        <v>183063616</v>
      </c>
      <c r="D51" s="14" cm="1">
        <f t="array" aca="1" ref="D51" ca="1">calcul_polynome_rec($F$45,B51)</f>
        <v>183063616</v>
      </c>
      <c r="H51" s="8">
        <f t="shared" ca="1" si="4"/>
        <v>214</v>
      </c>
      <c r="I51" s="4">
        <f t="shared" ca="1" si="4"/>
        <v>462</v>
      </c>
      <c r="J51" s="14" cm="1">
        <f t="array" aca="1" ref="J51" ca="1">plusgcd(H51,I51)</f>
        <v>2</v>
      </c>
    </row>
    <row r="52" spans="2:10" x14ac:dyDescent="0.3">
      <c r="B52" s="8">
        <f t="shared" si="5"/>
        <v>8</v>
      </c>
      <c r="C52" s="4" cm="1">
        <f t="array" aca="1" ref="C52" ca="1">calcul_polynome($F$45,B52)</f>
        <v>2745954304</v>
      </c>
      <c r="D52" s="14" cm="1">
        <f t="array" aca="1" ref="D52" ca="1">calcul_polynome_rec($F$45,B52)</f>
        <v>2745954304</v>
      </c>
      <c r="H52" s="8">
        <f t="shared" ca="1" si="4"/>
        <v>880</v>
      </c>
      <c r="I52" s="4">
        <f t="shared" ca="1" si="4"/>
        <v>896</v>
      </c>
      <c r="J52" s="14" cm="1">
        <f t="array" aca="1" ref="J52" ca="1">plusgcd(H52,I52)</f>
        <v>16</v>
      </c>
    </row>
    <row r="53" spans="2:10" x14ac:dyDescent="0.3">
      <c r="B53" s="8">
        <f t="shared" si="5"/>
        <v>9</v>
      </c>
      <c r="C53" s="4" cm="1">
        <f t="array" aca="1" ref="C53" ca="1">calcul_polynome($F$45,B53)</f>
        <v>41189314560</v>
      </c>
      <c r="D53" s="14" cm="1">
        <f t="array" aca="1" ref="D53" ca="1">calcul_polynome_rec($F$45,B53)</f>
        <v>41189314560</v>
      </c>
      <c r="H53" s="8">
        <f t="shared" ca="1" si="4"/>
        <v>378</v>
      </c>
      <c r="I53" s="4">
        <f t="shared" ca="1" si="4"/>
        <v>181</v>
      </c>
      <c r="J53" s="14" cm="1">
        <f t="array" aca="1" ref="J53" ca="1">plusgcd(H53,I53)</f>
        <v>1</v>
      </c>
    </row>
    <row r="54" spans="2:10" x14ac:dyDescent="0.3">
      <c r="B54" s="8">
        <f t="shared" si="5"/>
        <v>10</v>
      </c>
      <c r="C54" s="4" cm="1">
        <f t="array" aca="1" ref="C54" ca="1">calcul_polynome($F$45,B54)</f>
        <v>617839788032</v>
      </c>
      <c r="D54" s="14" cm="1">
        <f t="array" aca="1" ref="D54" ca="1">calcul_polynome_rec($F$45,B54)</f>
        <v>617839722496</v>
      </c>
      <c r="H54" s="8">
        <f t="shared" ca="1" si="4"/>
        <v>686</v>
      </c>
      <c r="I54" s="4">
        <f t="shared" ca="1" si="4"/>
        <v>138</v>
      </c>
      <c r="J54" s="14" cm="1">
        <f t="array" aca="1" ref="J54" ca="1">plusgcd(H54,I54)</f>
        <v>2</v>
      </c>
    </row>
    <row r="55" spans="2:10" x14ac:dyDescent="0.3">
      <c r="B55" s="8">
        <f t="shared" si="5"/>
        <v>11</v>
      </c>
      <c r="C55" s="4" cm="1">
        <f t="array" aca="1" ref="C55" ca="1">calcul_polynome($F$45,B55)</f>
        <v>9267595706368</v>
      </c>
      <c r="D55" s="14" cm="1">
        <f t="array" aca="1" ref="D55" ca="1">calcul_polynome_rec($F$45,B55)</f>
        <v>9267595706368</v>
      </c>
      <c r="H55" s="8">
        <f t="shared" ca="1" si="4"/>
        <v>341</v>
      </c>
      <c r="I55" s="4">
        <f t="shared" ca="1" si="4"/>
        <v>654</v>
      </c>
      <c r="J55" s="14" cm="1">
        <f t="array" aca="1" ref="J55" ca="1">plusgcd(H55,I55)</f>
        <v>1</v>
      </c>
    </row>
    <row r="56" spans="2:10" ht="15" thickBot="1" x14ac:dyDescent="0.35">
      <c r="B56" s="10">
        <f t="shared" si="5"/>
        <v>12</v>
      </c>
      <c r="C56" s="11" cm="1">
        <f t="array" aca="1" ref="C56" ca="1">calcul_polynome($F$45,B56)</f>
        <v>139013931401216</v>
      </c>
      <c r="D56" s="15" cm="1">
        <f t="array" aca="1" ref="D56" ca="1">calcul_polynome_rec($F$45,B56)</f>
        <v>139013939789824</v>
      </c>
      <c r="H56" s="10">
        <f t="shared" ca="1" si="4"/>
        <v>421</v>
      </c>
      <c r="I56" s="11">
        <f t="shared" ca="1" si="4"/>
        <v>367</v>
      </c>
      <c r="J56" s="15" cm="1">
        <f t="array" aca="1" ref="J56" ca="1">plusgcd(H56,I56)</f>
        <v>1</v>
      </c>
    </row>
    <row r="58" spans="2:10" ht="15" thickBot="1" x14ac:dyDescent="0.35"/>
    <row r="59" spans="2:10" ht="15" thickBot="1" x14ac:dyDescent="0.35">
      <c r="B59" s="23" t="s">
        <v>26</v>
      </c>
      <c r="C59" s="24"/>
      <c r="D59" s="24"/>
      <c r="E59" s="24"/>
      <c r="F59" s="25"/>
    </row>
    <row r="60" spans="2:10" ht="15" thickBot="1" x14ac:dyDescent="0.35"/>
    <row r="61" spans="2:10" ht="15" thickBot="1" x14ac:dyDescent="0.35">
      <c r="B61" s="1" t="s">
        <v>27</v>
      </c>
      <c r="C61" s="2" t="s">
        <v>28</v>
      </c>
      <c r="D61" s="2" t="s">
        <v>29</v>
      </c>
      <c r="E61" s="2" t="s">
        <v>31</v>
      </c>
      <c r="F61" s="3" t="s">
        <v>32</v>
      </c>
    </row>
    <row r="62" spans="2:10" ht="15" thickBot="1" x14ac:dyDescent="0.35">
      <c r="B62" s="22" t="s">
        <v>30</v>
      </c>
      <c r="C62" s="11" t="str" cm="1">
        <f t="array" ref="C62">mirroir_inter(B62)</f>
        <v>dlrow olleh</v>
      </c>
      <c r="D62" s="11" t="str" cm="1">
        <f t="array" ref="D62">mirroir_rec(B62)</f>
        <v>dlrow olleh</v>
      </c>
      <c r="E62" s="11">
        <f ca="1">RANDBETWEEN(100, 100000)</f>
        <v>50839</v>
      </c>
      <c r="F62" s="15" cm="1">
        <f t="array" aca="1" ref="F62" ca="1">mirroir_nombre(E62)</f>
        <v>93805</v>
      </c>
    </row>
  </sheetData>
  <mergeCells count="6">
    <mergeCell ref="B59:F59"/>
    <mergeCell ref="I2:L2"/>
    <mergeCell ref="B2:G2"/>
    <mergeCell ref="B23:K23"/>
    <mergeCell ref="B42:F42"/>
    <mergeCell ref="H42:J42"/>
  </mergeCells>
  <conditionalFormatting sqref="D26:F39">
    <cfRule type="cellIs" dxfId="2" priority="1" operator="equal">
      <formula>TRUE</formula>
    </cfRule>
    <cfRule type="cellIs" dxfId="1" priority="2" operator="equal">
      <formula>TRUE</formula>
    </cfRule>
    <cfRule type="cellIs" dxfId="0" priority="3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chouippe</dc:creator>
  <cp:lastModifiedBy>léo chouippe</cp:lastModifiedBy>
  <dcterms:created xsi:type="dcterms:W3CDTF">2024-04-10T07:13:10Z</dcterms:created>
  <dcterms:modified xsi:type="dcterms:W3CDTF">2024-04-10T10:10:53Z</dcterms:modified>
</cp:coreProperties>
</file>