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chppl\Documents\Dev\VBA\VBA-module-ouverture\CHOUIPPE_VBA_Excel\TD\Séance1\"/>
    </mc:Choice>
  </mc:AlternateContent>
  <xr:revisionPtr revIDLastSave="0" documentId="13_ncr:1_{3FC2006E-2F83-4F57-BF11-A4FE68F8978D}" xr6:coauthVersionLast="47" xr6:coauthVersionMax="47" xr10:uidLastSave="{00000000-0000-0000-0000-000000000000}"/>
  <bookViews>
    <workbookView xWindow="-108" yWindow="-108" windowWidth="23256" windowHeight="12576" firstSheet="2" activeTab="10" xr2:uid="{567D552B-E3E6-434A-966D-A8572B37F7B8}"/>
  </bookViews>
  <sheets>
    <sheet name="Exercice1" sheetId="1" r:id="rId1"/>
    <sheet name="Exercice2-3" sheetId="2" r:id="rId2"/>
    <sheet name="Exercice4" sheetId="3" r:id="rId3"/>
    <sheet name="Exercice5" sheetId="4" r:id="rId4"/>
    <sheet name="Exercice6" sheetId="5" r:id="rId5"/>
    <sheet name="Exercice7" sheetId="6" r:id="rId6"/>
    <sheet name="Exercice8" sheetId="7" r:id="rId7"/>
    <sheet name="Exercice9" sheetId="8" r:id="rId8"/>
    <sheet name="Exercice10" sheetId="9" r:id="rId9"/>
    <sheet name="Exercice11" sheetId="10" r:id="rId10"/>
    <sheet name="Exercice12" sheetId="11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7" i="10" l="1"/>
  <c r="I8" i="10"/>
  <c r="I9" i="10"/>
  <c r="I10" i="10"/>
  <c r="I11" i="10" s="1"/>
  <c r="I12" i="10" s="1"/>
  <c r="I13" i="10" s="1"/>
  <c r="I14" i="10" s="1"/>
  <c r="I6" i="10"/>
  <c r="B6" i="10"/>
  <c r="B7" i="10"/>
  <c r="B8" i="10"/>
  <c r="B9" i="10"/>
  <c r="B10" i="10"/>
  <c r="B11" i="10"/>
  <c r="B12" i="10"/>
  <c r="B13" i="10"/>
  <c r="B14" i="10"/>
  <c r="B5" i="10"/>
  <c r="E5" i="9"/>
  <c r="E6" i="11" a="1"/>
  <c r="J6" i="10" a="1"/>
  <c r="J5" i="10" a="1"/>
  <c r="E5" i="10" a="1"/>
  <c r="C6" i="10" a="1"/>
  <c r="C8" i="10" a="1"/>
  <c r="C10" i="10" a="1"/>
  <c r="C12" i="10" a="1"/>
  <c r="C14" i="10" a="1"/>
  <c r="C7" i="10" a="1"/>
  <c r="C9" i="10" a="1"/>
  <c r="C11" i="10" a="1"/>
  <c r="C13" i="10" a="1"/>
  <c r="C5" i="10" a="1"/>
  <c r="B6" i="9" a="1"/>
  <c r="B8" i="9" a="1"/>
  <c r="B10" i="9" a="1"/>
  <c r="B12" i="9" a="1"/>
  <c r="B14" i="9" a="1"/>
  <c r="B16" i="9" a="1"/>
  <c r="B18" i="9" a="1"/>
  <c r="B20" i="9" a="1"/>
  <c r="B22" i="9" a="1"/>
  <c r="B24" i="9" a="1"/>
  <c r="B26" i="9" a="1"/>
  <c r="B28" i="9" a="1"/>
  <c r="B30" i="9" a="1"/>
  <c r="B32" i="9" a="1"/>
  <c r="B34" i="9" a="1"/>
  <c r="B36" i="9" a="1"/>
  <c r="B38" i="9" a="1"/>
  <c r="B40" i="9" a="1"/>
  <c r="B42" i="9" a="1"/>
  <c r="B44" i="9" a="1"/>
  <c r="B46" i="9" a="1"/>
  <c r="B48" i="9" a="1"/>
  <c r="B50" i="9" a="1"/>
  <c r="B52" i="9" a="1"/>
  <c r="B54" i="9" a="1"/>
  <c r="B56" i="9" a="1"/>
  <c r="B58" i="9" a="1"/>
  <c r="B60" i="9" a="1"/>
  <c r="B62" i="9" a="1"/>
  <c r="B64" i="9" a="1"/>
  <c r="B66" i="9" a="1"/>
  <c r="B68" i="9" a="1"/>
  <c r="B70" i="9" a="1"/>
  <c r="B72" i="9" a="1"/>
  <c r="B74" i="9" a="1"/>
  <c r="B76" i="9" a="1"/>
  <c r="B78" i="9" a="1"/>
  <c r="B80" i="9" a="1"/>
  <c r="B82" i="9" a="1"/>
  <c r="B84" i="9" a="1"/>
  <c r="B86" i="9" a="1"/>
  <c r="B88" i="9" a="1"/>
  <c r="B90" i="9" a="1"/>
  <c r="B92" i="9" a="1"/>
  <c r="B94" i="9" a="1"/>
  <c r="B96" i="9" a="1"/>
  <c r="B98" i="9" a="1"/>
  <c r="B100" i="9" a="1"/>
  <c r="B102" i="9" a="1"/>
  <c r="B104" i="9" a="1"/>
  <c r="B106" i="9" a="1"/>
  <c r="B108" i="9" a="1"/>
  <c r="B110" i="9" a="1"/>
  <c r="B112" i="9" a="1"/>
  <c r="B114" i="9" a="1"/>
  <c r="B116" i="9" a="1"/>
  <c r="B118" i="9" a="1"/>
  <c r="B120" i="9" a="1"/>
  <c r="B122" i="9" a="1"/>
  <c r="B124" i="9" a="1"/>
  <c r="B126" i="9" a="1"/>
  <c r="B128" i="9" a="1"/>
  <c r="B130" i="9" a="1"/>
  <c r="B132" i="9" a="1"/>
  <c r="B134" i="9" a="1"/>
  <c r="B136" i="9" a="1"/>
  <c r="B138" i="9" a="1"/>
  <c r="B140" i="9" a="1"/>
  <c r="B142" i="9" a="1"/>
  <c r="B144" i="9" a="1"/>
  <c r="B146" i="9" a="1"/>
  <c r="B148" i="9" a="1"/>
  <c r="B150" i="9" a="1"/>
  <c r="B152" i="9" a="1"/>
  <c r="B154" i="9" a="1"/>
  <c r="B156" i="9" a="1"/>
  <c r="B158" i="9" a="1"/>
  <c r="B160" i="9" a="1"/>
  <c r="B162" i="9" a="1"/>
  <c r="B164" i="9" a="1"/>
  <c r="B166" i="9" a="1"/>
  <c r="B168" i="9" a="1"/>
  <c r="B170" i="9" a="1"/>
  <c r="B172" i="9" a="1"/>
  <c r="B174" i="9" a="1"/>
  <c r="B176" i="9" a="1"/>
  <c r="B178" i="9" a="1"/>
  <c r="B180" i="9" a="1"/>
  <c r="B182" i="9" a="1"/>
  <c r="B184" i="9" a="1"/>
  <c r="B186" i="9" a="1"/>
  <c r="B188" i="9" a="1"/>
  <c r="B190" i="9" a="1"/>
  <c r="B192" i="9" a="1"/>
  <c r="B194" i="9" a="1"/>
  <c r="B196" i="9" a="1"/>
  <c r="B198" i="9" a="1"/>
  <c r="B200" i="9" a="1"/>
  <c r="B202" i="9" a="1"/>
  <c r="B204" i="9" a="1"/>
  <c r="B206" i="9" a="1"/>
  <c r="B208" i="9" a="1"/>
  <c r="B210" i="9" a="1"/>
  <c r="B212" i="9" a="1"/>
  <c r="B214" i="9" a="1"/>
  <c r="B216" i="9" a="1"/>
  <c r="B218" i="9" a="1"/>
  <c r="B220" i="9" a="1"/>
  <c r="B222" i="9" a="1"/>
  <c r="B224" i="9" a="1"/>
  <c r="B226" i="9" a="1"/>
  <c r="B228" i="9" a="1"/>
  <c r="B230" i="9" a="1"/>
  <c r="B232" i="9" a="1"/>
  <c r="B234" i="9" a="1"/>
  <c r="B236" i="9" a="1"/>
  <c r="B238" i="9" a="1"/>
  <c r="B240" i="9" a="1"/>
  <c r="B242" i="9" a="1"/>
  <c r="B244" i="9" a="1"/>
  <c r="B246" i="9" a="1"/>
  <c r="B248" i="9" a="1"/>
  <c r="B250" i="9" a="1"/>
  <c r="B252" i="9" a="1"/>
  <c r="B254" i="9" a="1"/>
  <c r="B256" i="9" a="1"/>
  <c r="B258" i="9" a="1"/>
  <c r="B7" i="9" a="1"/>
  <c r="B11" i="9" a="1"/>
  <c r="B15" i="9" a="1"/>
  <c r="B23" i="9" a="1"/>
  <c r="B31" i="9" a="1"/>
  <c r="B39" i="9" a="1"/>
  <c r="B47" i="9" a="1"/>
  <c r="B55" i="9" a="1"/>
  <c r="B63" i="9" a="1"/>
  <c r="B71" i="9" a="1"/>
  <c r="B79" i="9" a="1"/>
  <c r="B87" i="9" a="1"/>
  <c r="B95" i="9" a="1"/>
  <c r="B103" i="9" a="1"/>
  <c r="B111" i="9" a="1"/>
  <c r="B119" i="9" a="1"/>
  <c r="B127" i="9" a="1"/>
  <c r="B135" i="9" a="1"/>
  <c r="B143" i="9" a="1"/>
  <c r="B151" i="9" a="1"/>
  <c r="B159" i="9" a="1"/>
  <c r="B167" i="9" a="1"/>
  <c r="B175" i="9" a="1"/>
  <c r="B183" i="9" a="1"/>
  <c r="B191" i="9" a="1"/>
  <c r="B199" i="9" a="1"/>
  <c r="B207" i="9" a="1"/>
  <c r="B215" i="9" a="1"/>
  <c r="B223" i="9" a="1"/>
  <c r="B231" i="9" a="1"/>
  <c r="B239" i="9" a="1"/>
  <c r="B247" i="9" a="1"/>
  <c r="B255" i="9" a="1"/>
  <c r="B260" i="9" a="1"/>
  <c r="B262" i="9" a="1"/>
  <c r="B264" i="9" a="1"/>
  <c r="B266" i="9" a="1"/>
  <c r="B268" i="9" a="1"/>
  <c r="B270" i="9" a="1"/>
  <c r="B272" i="9" a="1"/>
  <c r="B274" i="9" a="1"/>
  <c r="B276" i="9" a="1"/>
  <c r="B278" i="9" a="1"/>
  <c r="B280" i="9" a="1"/>
  <c r="B282" i="9" a="1"/>
  <c r="B284" i="9" a="1"/>
  <c r="B286" i="9" a="1"/>
  <c r="B21" i="9" a="1"/>
  <c r="B29" i="9" a="1"/>
  <c r="B37" i="9" a="1"/>
  <c r="B45" i="9" a="1"/>
  <c r="B53" i="9" a="1"/>
  <c r="B61" i="9" a="1"/>
  <c r="B69" i="9" a="1"/>
  <c r="B77" i="9" a="1"/>
  <c r="B85" i="9" a="1"/>
  <c r="B93" i="9" a="1"/>
  <c r="B101" i="9" a="1"/>
  <c r="B109" i="9" a="1"/>
  <c r="B117" i="9" a="1"/>
  <c r="B125" i="9" a="1"/>
  <c r="B133" i="9" a="1"/>
  <c r="B141" i="9" a="1"/>
  <c r="B149" i="9" a="1"/>
  <c r="B157" i="9" a="1"/>
  <c r="B165" i="9" a="1"/>
  <c r="B173" i="9" a="1"/>
  <c r="B181" i="9" a="1"/>
  <c r="B189" i="9" a="1"/>
  <c r="B197" i="9" a="1"/>
  <c r="B205" i="9" a="1"/>
  <c r="B213" i="9" a="1"/>
  <c r="B221" i="9" a="1"/>
  <c r="B229" i="9" a="1"/>
  <c r="B237" i="9" a="1"/>
  <c r="B245" i="9" a="1"/>
  <c r="B253" i="9" a="1"/>
  <c r="B9" i="9" a="1"/>
  <c r="B27" i="9" a="1"/>
  <c r="B43" i="9" a="1"/>
  <c r="B59" i="9" a="1"/>
  <c r="B75" i="9" a="1"/>
  <c r="B91" i="9" a="1"/>
  <c r="B107" i="9" a="1"/>
  <c r="B123" i="9" a="1"/>
  <c r="B139" i="9" a="1"/>
  <c r="B155" i="9" a="1"/>
  <c r="B171" i="9" a="1"/>
  <c r="B187" i="9" a="1"/>
  <c r="B203" i="9" a="1"/>
  <c r="B219" i="9" a="1"/>
  <c r="B235" i="9" a="1"/>
  <c r="B251" i="9" a="1"/>
  <c r="B261" i="9" a="1"/>
  <c r="B269" i="9" a="1"/>
  <c r="B277" i="9" a="1"/>
  <c r="B285" i="9" a="1"/>
  <c r="B17" i="9" a="1"/>
  <c r="B33" i="9" a="1"/>
  <c r="B49" i="9" a="1"/>
  <c r="B65" i="9" a="1"/>
  <c r="B81" i="9" a="1"/>
  <c r="B97" i="9" a="1"/>
  <c r="B113" i="9" a="1"/>
  <c r="B129" i="9" a="1"/>
  <c r="B145" i="9" a="1"/>
  <c r="B161" i="9" a="1"/>
  <c r="B177" i="9" a="1"/>
  <c r="B193" i="9" a="1"/>
  <c r="B209" i="9" a="1"/>
  <c r="B225" i="9" a="1"/>
  <c r="B241" i="9" a="1"/>
  <c r="B257" i="9" a="1"/>
  <c r="B267" i="9" a="1"/>
  <c r="B275" i="9" a="1"/>
  <c r="B283" i="9" a="1"/>
  <c r="B288" i="9" a="1"/>
  <c r="B290" i="9" a="1"/>
  <c r="B292" i="9" a="1"/>
  <c r="B294" i="9" a="1"/>
  <c r="B296" i="9" a="1"/>
  <c r="B298" i="9" a="1"/>
  <c r="B300" i="9" a="1"/>
  <c r="B302" i="9" a="1"/>
  <c r="B304" i="9" a="1"/>
  <c r="B306" i="9" a="1"/>
  <c r="B308" i="9" a="1"/>
  <c r="B310" i="9" a="1"/>
  <c r="B312" i="9" a="1"/>
  <c r="B314" i="9" a="1"/>
  <c r="B316" i="9" a="1"/>
  <c r="B318" i="9" a="1"/>
  <c r="B320" i="9" a="1"/>
  <c r="B322" i="9" a="1"/>
  <c r="B324" i="9" a="1"/>
  <c r="B326" i="9" a="1"/>
  <c r="B328" i="9" a="1"/>
  <c r="B330" i="9" a="1"/>
  <c r="B332" i="9" a="1"/>
  <c r="B334" i="9" a="1"/>
  <c r="B336" i="9" a="1"/>
  <c r="B338" i="9" a="1"/>
  <c r="B340" i="9" a="1"/>
  <c r="B342" i="9" a="1"/>
  <c r="B344" i="9" a="1"/>
  <c r="B346" i="9" a="1"/>
  <c r="B348" i="9" a="1"/>
  <c r="B350" i="9" a="1"/>
  <c r="B352" i="9" a="1"/>
  <c r="B354" i="9" a="1"/>
  <c r="B356" i="9" a="1"/>
  <c r="B358" i="9" a="1"/>
  <c r="B360" i="9" a="1"/>
  <c r="B362" i="9" a="1"/>
  <c r="B364" i="9" a="1"/>
  <c r="B366" i="9" a="1"/>
  <c r="B368" i="9" a="1"/>
  <c r="B370" i="9" a="1"/>
  <c r="B372" i="9" a="1"/>
  <c r="B374" i="9" a="1"/>
  <c r="B376" i="9" a="1"/>
  <c r="B378" i="9" a="1"/>
  <c r="B380" i="9" a="1"/>
  <c r="B382" i="9" a="1"/>
  <c r="B384" i="9" a="1"/>
  <c r="B386" i="9" a="1"/>
  <c r="B388" i="9" a="1"/>
  <c r="B390" i="9" a="1"/>
  <c r="B392" i="9" a="1"/>
  <c r="B394" i="9" a="1"/>
  <c r="B396" i="9" a="1"/>
  <c r="B398" i="9" a="1"/>
  <c r="B400" i="9" a="1"/>
  <c r="B13" i="9" a="1"/>
  <c r="B35" i="9" a="1"/>
  <c r="B67" i="9" a="1"/>
  <c r="B99" i="9" a="1"/>
  <c r="B131" i="9" a="1"/>
  <c r="B163" i="9" a="1"/>
  <c r="B195" i="9" a="1"/>
  <c r="B227" i="9" a="1"/>
  <c r="B259" i="9" a="1"/>
  <c r="B265" i="9" a="1"/>
  <c r="B281" i="9" a="1"/>
  <c r="B402" i="9" a="1"/>
  <c r="B407" i="9" a="1"/>
  <c r="B410" i="9" a="1"/>
  <c r="B415" i="9" a="1"/>
  <c r="B418" i="9" a="1"/>
  <c r="B423" i="9" a="1"/>
  <c r="B426" i="9" a="1"/>
  <c r="B431" i="9" a="1"/>
  <c r="B434" i="9" a="1"/>
  <c r="B439" i="9" a="1"/>
  <c r="B442" i="9" a="1"/>
  <c r="B447" i="9" a="1"/>
  <c r="B450" i="9" a="1"/>
  <c r="B455" i="9" a="1"/>
  <c r="B458" i="9" a="1"/>
  <c r="B463" i="9" a="1"/>
  <c r="B466" i="9" a="1"/>
  <c r="B471" i="9" a="1"/>
  <c r="B474" i="9" a="1"/>
  <c r="B479" i="9" a="1"/>
  <c r="B482" i="9" a="1"/>
  <c r="B487" i="9" a="1"/>
  <c r="B490" i="9" a="1"/>
  <c r="B495" i="9" a="1"/>
  <c r="B498" i="9" a="1"/>
  <c r="B503" i="9" a="1"/>
  <c r="B506" i="9" a="1"/>
  <c r="B511" i="9" a="1"/>
  <c r="B514" i="9" a="1"/>
  <c r="B519" i="9" a="1"/>
  <c r="B522" i="9" a="1"/>
  <c r="B527" i="9" a="1"/>
  <c r="B529" i="9" a="1"/>
  <c r="B531" i="9" a="1"/>
  <c r="B533" i="9" a="1"/>
  <c r="B535" i="9" a="1"/>
  <c r="B537" i="9" a="1"/>
  <c r="B539" i="9" a="1"/>
  <c r="B541" i="9" a="1"/>
  <c r="B543" i="9" a="1"/>
  <c r="B545" i="9" a="1"/>
  <c r="B547" i="9" a="1"/>
  <c r="B549" i="9" a="1"/>
  <c r="B551" i="9" a="1"/>
  <c r="B553" i="9" a="1"/>
  <c r="B555" i="9" a="1"/>
  <c r="B557" i="9" a="1"/>
  <c r="B559" i="9" a="1"/>
  <c r="B561" i="9" a="1"/>
  <c r="B563" i="9" a="1"/>
  <c r="B565" i="9" a="1"/>
  <c r="B567" i="9" a="1"/>
  <c r="B569" i="9" a="1"/>
  <c r="B571" i="9" a="1"/>
  <c r="B573" i="9" a="1"/>
  <c r="B575" i="9" a="1"/>
  <c r="B577" i="9" a="1"/>
  <c r="B579" i="9" a="1"/>
  <c r="B581" i="9" a="1"/>
  <c r="B583" i="9" a="1"/>
  <c r="B585" i="9" a="1"/>
  <c r="B587" i="9" a="1"/>
  <c r="B589" i="9" a="1"/>
  <c r="B591" i="9" a="1"/>
  <c r="B593" i="9" a="1"/>
  <c r="B595" i="9" a="1"/>
  <c r="B597" i="9" a="1"/>
  <c r="B599" i="9" a="1"/>
  <c r="B601" i="9" a="1"/>
  <c r="B603" i="9" a="1"/>
  <c r="B605" i="9" a="1"/>
  <c r="B607" i="9" a="1"/>
  <c r="B609" i="9" a="1"/>
  <c r="B611" i="9" a="1"/>
  <c r="B613" i="9" a="1"/>
  <c r="B615" i="9" a="1"/>
  <c r="B617" i="9" a="1"/>
  <c r="B25" i="9" a="1"/>
  <c r="B57" i="9" a="1"/>
  <c r="B89" i="9" a="1"/>
  <c r="B121" i="9" a="1"/>
  <c r="B153" i="9" a="1"/>
  <c r="B185" i="9" a="1"/>
  <c r="B217" i="9" a="1"/>
  <c r="B249" i="9" a="1"/>
  <c r="B271" i="9" a="1"/>
  <c r="B287" i="9" a="1"/>
  <c r="B291" i="9" a="1"/>
  <c r="B295" i="9" a="1"/>
  <c r="B299" i="9" a="1"/>
  <c r="B303" i="9" a="1"/>
  <c r="B307" i="9" a="1"/>
  <c r="B311" i="9" a="1"/>
  <c r="B315" i="9" a="1"/>
  <c r="B319" i="9" a="1"/>
  <c r="B323" i="9" a="1"/>
  <c r="B327" i="9" a="1"/>
  <c r="B331" i="9" a="1"/>
  <c r="B335" i="9" a="1"/>
  <c r="B339" i="9" a="1"/>
  <c r="B343" i="9" a="1"/>
  <c r="B347" i="9" a="1"/>
  <c r="B351" i="9" a="1"/>
  <c r="B355" i="9" a="1"/>
  <c r="B359" i="9" a="1"/>
  <c r="B363" i="9" a="1"/>
  <c r="B367" i="9" a="1"/>
  <c r="B371" i="9" a="1"/>
  <c r="B375" i="9" a="1"/>
  <c r="B379" i="9" a="1"/>
  <c r="B383" i="9" a="1"/>
  <c r="B387" i="9" a="1"/>
  <c r="B391" i="9" a="1"/>
  <c r="B395" i="9" a="1"/>
  <c r="B399" i="9" a="1"/>
  <c r="B405" i="9" a="1"/>
  <c r="B408" i="9" a="1"/>
  <c r="B413" i="9" a="1"/>
  <c r="B416" i="9" a="1"/>
  <c r="B421" i="9" a="1"/>
  <c r="B424" i="9" a="1"/>
  <c r="B429" i="9" a="1"/>
  <c r="B432" i="9" a="1"/>
  <c r="B437" i="9" a="1"/>
  <c r="B440" i="9" a="1"/>
  <c r="B445" i="9" a="1"/>
  <c r="B448" i="9" a="1"/>
  <c r="B453" i="9" a="1"/>
  <c r="B456" i="9" a="1"/>
  <c r="B461" i="9" a="1"/>
  <c r="B464" i="9" a="1"/>
  <c r="B469" i="9" a="1"/>
  <c r="B472" i="9" a="1"/>
  <c r="B477" i="9" a="1"/>
  <c r="B480" i="9" a="1"/>
  <c r="B485" i="9" a="1"/>
  <c r="B488" i="9" a="1"/>
  <c r="B493" i="9" a="1"/>
  <c r="B496" i="9" a="1"/>
  <c r="B501" i="9" a="1"/>
  <c r="B504" i="9" a="1"/>
  <c r="B509" i="9" a="1"/>
  <c r="B512" i="9" a="1"/>
  <c r="B517" i="9" a="1"/>
  <c r="B520" i="9" a="1"/>
  <c r="B525" i="9" a="1"/>
  <c r="B19" i="9" a="1"/>
  <c r="B83" i="9" a="1"/>
  <c r="B147" i="9" a="1"/>
  <c r="B211" i="9" a="1"/>
  <c r="B406" i="9" a="1"/>
  <c r="B411" i="9" a="1"/>
  <c r="B422" i="9" a="1"/>
  <c r="B427" i="9" a="1"/>
  <c r="B438" i="9" a="1"/>
  <c r="B443" i="9" a="1"/>
  <c r="B454" i="9" a="1"/>
  <c r="B459" i="9" a="1"/>
  <c r="B470" i="9" a="1"/>
  <c r="B475" i="9" a="1"/>
  <c r="B486" i="9" a="1"/>
  <c r="B491" i="9" a="1"/>
  <c r="B502" i="9" a="1"/>
  <c r="B507" i="9" a="1"/>
  <c r="B518" i="9" a="1"/>
  <c r="B523" i="9" a="1"/>
  <c r="B528" i="9" a="1"/>
  <c r="B532" i="9" a="1"/>
  <c r="B536" i="9" a="1"/>
  <c r="B540" i="9" a="1"/>
  <c r="B544" i="9" a="1"/>
  <c r="B548" i="9" a="1"/>
  <c r="B552" i="9" a="1"/>
  <c r="B556" i="9" a="1"/>
  <c r="B560" i="9" a="1"/>
  <c r="B564" i="9" a="1"/>
  <c r="B568" i="9" a="1"/>
  <c r="B572" i="9" a="1"/>
  <c r="B576" i="9" a="1"/>
  <c r="B580" i="9" a="1"/>
  <c r="B584" i="9" a="1"/>
  <c r="B588" i="9" a="1"/>
  <c r="B592" i="9" a="1"/>
  <c r="B596" i="9" a="1"/>
  <c r="B600" i="9" a="1"/>
  <c r="B604" i="9" a="1"/>
  <c r="B608" i="9" a="1"/>
  <c r="B612" i="9" a="1"/>
  <c r="B616" i="9" a="1"/>
  <c r="B619" i="9" a="1"/>
  <c r="B622" i="9" a="1"/>
  <c r="B627" i="9" a="1"/>
  <c r="B630" i="9" a="1"/>
  <c r="B635" i="9" a="1"/>
  <c r="B638" i="9" a="1"/>
  <c r="B643" i="9" a="1"/>
  <c r="B646" i="9" a="1"/>
  <c r="B651" i="9" a="1"/>
  <c r="B654" i="9" a="1"/>
  <c r="B659" i="9" a="1"/>
  <c r="B662" i="9" a="1"/>
  <c r="B667" i="9" a="1"/>
  <c r="B670" i="9" a="1"/>
  <c r="B675" i="9" a="1"/>
  <c r="B678" i="9" a="1"/>
  <c r="B683" i="9" a="1"/>
  <c r="B686" i="9" a="1"/>
  <c r="B691" i="9" a="1"/>
  <c r="B694" i="9" a="1"/>
  <c r="B699" i="9" a="1"/>
  <c r="B702" i="9" a="1"/>
  <c r="B821" i="9" a="1"/>
  <c r="B835" i="9" a="1"/>
  <c r="B841" i="9" a="1"/>
  <c r="B845" i="9" a="1"/>
  <c r="B849" i="9" a="1"/>
  <c r="B853" i="9" a="1"/>
  <c r="B857" i="9" a="1"/>
  <c r="B859" i="9" a="1"/>
  <c r="B863" i="9" a="1"/>
  <c r="B867" i="9" a="1"/>
  <c r="B871" i="9" a="1"/>
  <c r="B875" i="9" a="1"/>
  <c r="B879" i="9" a="1"/>
  <c r="B883" i="9" a="1"/>
  <c r="B887" i="9" a="1"/>
  <c r="B889" i="9" a="1"/>
  <c r="B893" i="9" a="1"/>
  <c r="B897" i="9" a="1"/>
  <c r="B901" i="9" a="1"/>
  <c r="B905" i="9" a="1"/>
  <c r="B909" i="9" a="1"/>
  <c r="B913" i="9" a="1"/>
  <c r="B917" i="9" a="1"/>
  <c r="B921" i="9" a="1"/>
  <c r="B925" i="9" a="1"/>
  <c r="B929" i="9" a="1"/>
  <c r="B933" i="9" a="1"/>
  <c r="B937" i="9" a="1"/>
  <c r="B941" i="9" a="1"/>
  <c r="B945" i="9" a="1"/>
  <c r="B949" i="9" a="1"/>
  <c r="B953" i="9" a="1"/>
  <c r="B955" i="9" a="1"/>
  <c r="B959" i="9" a="1"/>
  <c r="B963" i="9" a="1"/>
  <c r="B967" i="9" a="1"/>
  <c r="B969" i="9" a="1"/>
  <c r="B973" i="9" a="1"/>
  <c r="B977" i="9" a="1"/>
  <c r="B981" i="9" a="1"/>
  <c r="B985" i="9" a="1"/>
  <c r="B989" i="9" a="1"/>
  <c r="B991" i="9" a="1"/>
  <c r="B995" i="9" a="1"/>
  <c r="B999" i="9" a="1"/>
  <c r="B1003" i="9" a="1"/>
  <c r="B51" i="9" a="1"/>
  <c r="B414" i="9" a="1"/>
  <c r="B430" i="9" a="1"/>
  <c r="B446" i="9" a="1"/>
  <c r="B462" i="9" a="1"/>
  <c r="B483" i="9" a="1"/>
  <c r="B499" i="9" a="1"/>
  <c r="B515" i="9" a="1"/>
  <c r="B530" i="9" a="1"/>
  <c r="B538" i="9" a="1"/>
  <c r="B546" i="9" a="1"/>
  <c r="B554" i="9" a="1"/>
  <c r="B566" i="9" a="1"/>
  <c r="B574" i="9" a="1"/>
  <c r="B582" i="9" a="1"/>
  <c r="B590" i="9" a="1"/>
  <c r="B598" i="9" a="1"/>
  <c r="B602" i="9" a="1"/>
  <c r="B610" i="9" a="1"/>
  <c r="B618" i="9" a="1"/>
  <c r="B631" i="9" a="1"/>
  <c r="B639" i="9" a="1"/>
  <c r="B650" i="9" a="1"/>
  <c r="B658" i="9" a="1"/>
  <c r="B666" i="9" a="1"/>
  <c r="B671" i="9" a="1"/>
  <c r="B679" i="9" a="1"/>
  <c r="B687" i="9" a="1"/>
  <c r="B698" i="9" a="1"/>
  <c r="B703" i="9" a="1"/>
  <c r="B41" i="9" a="1"/>
  <c r="B105" i="9" a="1"/>
  <c r="B169" i="9" a="1"/>
  <c r="B233" i="9" a="1"/>
  <c r="B279" i="9" a="1"/>
  <c r="B289" i="9" a="1"/>
  <c r="B297" i="9" a="1"/>
  <c r="B305" i="9" a="1"/>
  <c r="B313" i="9" a="1"/>
  <c r="B321" i="9" a="1"/>
  <c r="B329" i="9" a="1"/>
  <c r="B337" i="9" a="1"/>
  <c r="B345" i="9" a="1"/>
  <c r="B353" i="9" a="1"/>
  <c r="B361" i="9" a="1"/>
  <c r="B369" i="9" a="1"/>
  <c r="B377" i="9" a="1"/>
  <c r="B385" i="9" a="1"/>
  <c r="B393" i="9" a="1"/>
  <c r="B401" i="9" a="1"/>
  <c r="B412" i="9" a="1"/>
  <c r="B417" i="9" a="1"/>
  <c r="B428" i="9" a="1"/>
  <c r="B433" i="9" a="1"/>
  <c r="B444" i="9" a="1"/>
  <c r="B449" i="9" a="1"/>
  <c r="B460" i="9" a="1"/>
  <c r="B465" i="9" a="1"/>
  <c r="B476" i="9" a="1"/>
  <c r="B481" i="9" a="1"/>
  <c r="B492" i="9" a="1"/>
  <c r="B497" i="9" a="1"/>
  <c r="B508" i="9" a="1"/>
  <c r="B513" i="9" a="1"/>
  <c r="B524" i="9" a="1"/>
  <c r="B620" i="9" a="1"/>
  <c r="B625" i="9" a="1"/>
  <c r="B628" i="9" a="1"/>
  <c r="B633" i="9" a="1"/>
  <c r="B636" i="9" a="1"/>
  <c r="B641" i="9" a="1"/>
  <c r="B644" i="9" a="1"/>
  <c r="B649" i="9" a="1"/>
  <c r="B652" i="9" a="1"/>
  <c r="B657" i="9" a="1"/>
  <c r="B660" i="9" a="1"/>
  <c r="B665" i="9" a="1"/>
  <c r="B668" i="9" a="1"/>
  <c r="B673" i="9" a="1"/>
  <c r="B676" i="9" a="1"/>
  <c r="B681" i="9" a="1"/>
  <c r="B684" i="9" a="1"/>
  <c r="B689" i="9" a="1"/>
  <c r="B692" i="9" a="1"/>
  <c r="B697" i="9" a="1"/>
  <c r="B700" i="9" a="1"/>
  <c r="B705" i="9" a="1"/>
  <c r="B707" i="9" a="1"/>
  <c r="B709" i="9" a="1"/>
  <c r="B711" i="9" a="1"/>
  <c r="B713" i="9" a="1"/>
  <c r="B715" i="9" a="1"/>
  <c r="B717" i="9" a="1"/>
  <c r="B719" i="9" a="1"/>
  <c r="B721" i="9" a="1"/>
  <c r="B723" i="9" a="1"/>
  <c r="B725" i="9" a="1"/>
  <c r="B727" i="9" a="1"/>
  <c r="B729" i="9" a="1"/>
  <c r="B731" i="9" a="1"/>
  <c r="B733" i="9" a="1"/>
  <c r="B735" i="9" a="1"/>
  <c r="B737" i="9" a="1"/>
  <c r="B739" i="9" a="1"/>
  <c r="B741" i="9" a="1"/>
  <c r="B743" i="9" a="1"/>
  <c r="B745" i="9" a="1"/>
  <c r="B747" i="9" a="1"/>
  <c r="B749" i="9" a="1"/>
  <c r="B751" i="9" a="1"/>
  <c r="B753" i="9" a="1"/>
  <c r="B755" i="9" a="1"/>
  <c r="B757" i="9" a="1"/>
  <c r="B759" i="9" a="1"/>
  <c r="B761" i="9" a="1"/>
  <c r="B763" i="9" a="1"/>
  <c r="B765" i="9" a="1"/>
  <c r="B767" i="9" a="1"/>
  <c r="B769" i="9" a="1"/>
  <c r="B771" i="9" a="1"/>
  <c r="B773" i="9" a="1"/>
  <c r="B775" i="9" a="1"/>
  <c r="B777" i="9" a="1"/>
  <c r="B779" i="9" a="1"/>
  <c r="B781" i="9" a="1"/>
  <c r="B783" i="9" a="1"/>
  <c r="B785" i="9" a="1"/>
  <c r="B787" i="9" a="1"/>
  <c r="B789" i="9" a="1"/>
  <c r="B791" i="9" a="1"/>
  <c r="B793" i="9" a="1"/>
  <c r="B795" i="9" a="1"/>
  <c r="B797" i="9" a="1"/>
  <c r="B799" i="9" a="1"/>
  <c r="B801" i="9" a="1"/>
  <c r="B803" i="9" a="1"/>
  <c r="B805" i="9" a="1"/>
  <c r="B807" i="9" a="1"/>
  <c r="B809" i="9" a="1"/>
  <c r="B811" i="9" a="1"/>
  <c r="B813" i="9" a="1"/>
  <c r="B815" i="9" a="1"/>
  <c r="B817" i="9" a="1"/>
  <c r="B819" i="9" a="1"/>
  <c r="B823" i="9" a="1"/>
  <c r="B825" i="9" a="1"/>
  <c r="B827" i="9" a="1"/>
  <c r="B829" i="9" a="1"/>
  <c r="B831" i="9" a="1"/>
  <c r="B833" i="9" a="1"/>
  <c r="B837" i="9" a="1"/>
  <c r="B839" i="9" a="1"/>
  <c r="B843" i="9" a="1"/>
  <c r="B847" i="9" a="1"/>
  <c r="B851" i="9" a="1"/>
  <c r="B855" i="9" a="1"/>
  <c r="B861" i="9" a="1"/>
  <c r="B865" i="9" a="1"/>
  <c r="B869" i="9" a="1"/>
  <c r="B873" i="9" a="1"/>
  <c r="B877" i="9" a="1"/>
  <c r="B881" i="9" a="1"/>
  <c r="B885" i="9" a="1"/>
  <c r="B891" i="9" a="1"/>
  <c r="B895" i="9" a="1"/>
  <c r="B899" i="9" a="1"/>
  <c r="B903" i="9" a="1"/>
  <c r="B907" i="9" a="1"/>
  <c r="B911" i="9" a="1"/>
  <c r="B915" i="9" a="1"/>
  <c r="B919" i="9" a="1"/>
  <c r="B923" i="9" a="1"/>
  <c r="B927" i="9" a="1"/>
  <c r="B931" i="9" a="1"/>
  <c r="B935" i="9" a="1"/>
  <c r="B939" i="9" a="1"/>
  <c r="B943" i="9" a="1"/>
  <c r="B947" i="9" a="1"/>
  <c r="B951" i="9" a="1"/>
  <c r="B957" i="9" a="1"/>
  <c r="B961" i="9" a="1"/>
  <c r="B965" i="9" a="1"/>
  <c r="B971" i="9" a="1"/>
  <c r="B975" i="9" a="1"/>
  <c r="B979" i="9" a="1"/>
  <c r="B983" i="9" a="1"/>
  <c r="B987" i="9" a="1"/>
  <c r="B993" i="9" a="1"/>
  <c r="B997" i="9" a="1"/>
  <c r="B1001" i="9" a="1"/>
  <c r="B115" i="9" a="1"/>
  <c r="B179" i="9" a="1"/>
  <c r="B243" i="9" a="1"/>
  <c r="B273" i="9" a="1"/>
  <c r="B403" i="9" a="1"/>
  <c r="B419" i="9" a="1"/>
  <c r="B435" i="9" a="1"/>
  <c r="B451" i="9" a="1"/>
  <c r="B467" i="9" a="1"/>
  <c r="B478" i="9" a="1"/>
  <c r="B494" i="9" a="1"/>
  <c r="B510" i="9" a="1"/>
  <c r="B526" i="9" a="1"/>
  <c r="B534" i="9" a="1"/>
  <c r="B542" i="9" a="1"/>
  <c r="B550" i="9" a="1"/>
  <c r="B558" i="9" a="1"/>
  <c r="B562" i="9" a="1"/>
  <c r="B570" i="9" a="1"/>
  <c r="B578" i="9" a="1"/>
  <c r="B586" i="9" a="1"/>
  <c r="B594" i="9" a="1"/>
  <c r="B606" i="9" a="1"/>
  <c r="B614" i="9" a="1"/>
  <c r="B623" i="9" a="1"/>
  <c r="B626" i="9" a="1"/>
  <c r="B634" i="9" a="1"/>
  <c r="B642" i="9" a="1"/>
  <c r="B647" i="9" a="1"/>
  <c r="B655" i="9" a="1"/>
  <c r="B663" i="9" a="1"/>
  <c r="B674" i="9" a="1"/>
  <c r="B682" i="9" a="1"/>
  <c r="B690" i="9" a="1"/>
  <c r="B695" i="9" a="1"/>
  <c r="B201" i="9" a="1"/>
  <c r="B309" i="9" a="1"/>
  <c r="B341" i="9" a="1"/>
  <c r="B373" i="9" a="1"/>
  <c r="B404" i="9" a="1"/>
  <c r="B425" i="9" a="1"/>
  <c r="B468" i="9" a="1"/>
  <c r="B489" i="9" a="1"/>
  <c r="B624" i="9" a="1"/>
  <c r="B645" i="9" a="1"/>
  <c r="B656" i="9" a="1"/>
  <c r="B677" i="9" a="1"/>
  <c r="B688" i="9" a="1"/>
  <c r="B708" i="9" a="1"/>
  <c r="B716" i="9" a="1"/>
  <c r="B724" i="9" a="1"/>
  <c r="B732" i="9" a="1"/>
  <c r="B740" i="9" a="1"/>
  <c r="B748" i="9" a="1"/>
  <c r="B756" i="9" a="1"/>
  <c r="B764" i="9" a="1"/>
  <c r="B772" i="9" a="1"/>
  <c r="B780" i="9" a="1"/>
  <c r="B788" i="9" a="1"/>
  <c r="B796" i="9" a="1"/>
  <c r="B804" i="9" a="1"/>
  <c r="B812" i="9" a="1"/>
  <c r="B820" i="9" a="1"/>
  <c r="B828" i="9" a="1"/>
  <c r="B836" i="9" a="1"/>
  <c r="B844" i="9" a="1"/>
  <c r="B858" i="9" a="1"/>
  <c r="B846" i="9" a="1"/>
  <c r="B868" i="9" a="1"/>
  <c r="B876" i="9" a="1"/>
  <c r="B884" i="9" a="1"/>
  <c r="B892" i="9" a="1"/>
  <c r="B900" i="9" a="1"/>
  <c r="B908" i="9" a="1"/>
  <c r="B916" i="9" a="1"/>
  <c r="B924" i="9" a="1"/>
  <c r="B928" i="9" a="1"/>
  <c r="B936" i="9" a="1"/>
  <c r="B944" i="9" a="1"/>
  <c r="B948" i="9" a="1"/>
  <c r="B956" i="9" a="1"/>
  <c r="B964" i="9" a="1"/>
  <c r="B972" i="9" a="1"/>
  <c r="B980" i="9" a="1"/>
  <c r="B988" i="9" a="1"/>
  <c r="B996" i="9" a="1"/>
  <c r="B1004" i="9" a="1"/>
  <c r="B73" i="9" a="1"/>
  <c r="B325" i="9" a="1"/>
  <c r="B389" i="9" a="1"/>
  <c r="B436" i="9" a="1"/>
  <c r="B521" i="9" a="1"/>
  <c r="B640" i="9" a="1"/>
  <c r="B661" i="9" a="1"/>
  <c r="B704" i="9" a="1"/>
  <c r="B720" i="9" a="1"/>
  <c r="B736" i="9" a="1"/>
  <c r="B752" i="9" a="1"/>
  <c r="B768" i="9" a="1"/>
  <c r="B784" i="9" a="1"/>
  <c r="B800" i="9" a="1"/>
  <c r="B816" i="9" a="1"/>
  <c r="B832" i="9" a="1"/>
  <c r="B848" i="9" a="1"/>
  <c r="B263" i="9" a="1"/>
  <c r="B333" i="9" a="1"/>
  <c r="B365" i="9" a="1"/>
  <c r="B420" i="9" a="1"/>
  <c r="B505" i="9" a="1"/>
  <c r="B632" i="9" a="1"/>
  <c r="B653" i="9" a="1"/>
  <c r="B685" i="9" a="1"/>
  <c r="B706" i="9" a="1"/>
  <c r="B714" i="9" a="1"/>
  <c r="B730" i="9" a="1"/>
  <c r="B746" i="9" a="1"/>
  <c r="B762" i="9" a="1"/>
  <c r="B786" i="9" a="1"/>
  <c r="B802" i="9" a="1"/>
  <c r="B818" i="9" a="1"/>
  <c r="B842" i="9" a="1"/>
  <c r="B856" i="9" a="1"/>
  <c r="B870" i="9" a="1"/>
  <c r="B878" i="9" a="1"/>
  <c r="B886" i="9" a="1"/>
  <c r="B894" i="9" a="1"/>
  <c r="B906" i="9" a="1"/>
  <c r="B914" i="9" a="1"/>
  <c r="B922" i="9" a="1"/>
  <c r="B934" i="9" a="1"/>
  <c r="B942" i="9" a="1"/>
  <c r="B950" i="9" a="1"/>
  <c r="B958" i="9" a="1"/>
  <c r="B970" i="9" a="1"/>
  <c r="B978" i="9" a="1"/>
  <c r="B986" i="9" a="1"/>
  <c r="B994" i="9" a="1"/>
  <c r="B1002" i="9" a="1"/>
  <c r="B137" i="9" a="1"/>
  <c r="B317" i="9" a="1"/>
  <c r="B349" i="9" a="1"/>
  <c r="B381" i="9" a="1"/>
  <c r="B409" i="9" a="1"/>
  <c r="B452" i="9" a="1"/>
  <c r="B473" i="9" a="1"/>
  <c r="B516" i="9" a="1"/>
  <c r="B637" i="9" a="1"/>
  <c r="B648" i="9" a="1"/>
  <c r="B669" i="9" a="1"/>
  <c r="B680" i="9" a="1"/>
  <c r="B701" i="9" a="1"/>
  <c r="B710" i="9" a="1"/>
  <c r="B718" i="9" a="1"/>
  <c r="B726" i="9" a="1"/>
  <c r="B734" i="9" a="1"/>
  <c r="B742" i="9" a="1"/>
  <c r="B750" i="9" a="1"/>
  <c r="B758" i="9" a="1"/>
  <c r="B766" i="9" a="1"/>
  <c r="B774" i="9" a="1"/>
  <c r="B782" i="9" a="1"/>
  <c r="B790" i="9" a="1"/>
  <c r="B798" i="9" a="1"/>
  <c r="B806" i="9" a="1"/>
  <c r="B814" i="9" a="1"/>
  <c r="B822" i="9" a="1"/>
  <c r="B830" i="9" a="1"/>
  <c r="B838" i="9" a="1"/>
  <c r="B852" i="9" a="1"/>
  <c r="B860" i="9" a="1"/>
  <c r="B864" i="9" a="1"/>
  <c r="B872" i="9" a="1"/>
  <c r="B880" i="9" a="1"/>
  <c r="B888" i="9" a="1"/>
  <c r="B896" i="9" a="1"/>
  <c r="B904" i="9" a="1"/>
  <c r="B912" i="9" a="1"/>
  <c r="B920" i="9" a="1"/>
  <c r="B932" i="9" a="1"/>
  <c r="B940" i="9" a="1"/>
  <c r="B952" i="9" a="1"/>
  <c r="B960" i="9" a="1"/>
  <c r="B968" i="9" a="1"/>
  <c r="B976" i="9" a="1"/>
  <c r="B984" i="9" a="1"/>
  <c r="B992" i="9" a="1"/>
  <c r="B1000" i="9" a="1"/>
  <c r="B293" i="9" a="1"/>
  <c r="B357" i="9" a="1"/>
  <c r="B457" i="9" a="1"/>
  <c r="B500" i="9" a="1"/>
  <c r="B629" i="9" a="1"/>
  <c r="B672" i="9" a="1"/>
  <c r="B693" i="9" a="1"/>
  <c r="B712" i="9" a="1"/>
  <c r="B728" i="9" a="1"/>
  <c r="B744" i="9" a="1"/>
  <c r="B760" i="9" a="1"/>
  <c r="B776" i="9" a="1"/>
  <c r="B792" i="9" a="1"/>
  <c r="B808" i="9" a="1"/>
  <c r="B824" i="9" a="1"/>
  <c r="B840" i="9" a="1"/>
  <c r="B854" i="9" a="1"/>
  <c r="B301" i="9" a="1"/>
  <c r="B397" i="9" a="1"/>
  <c r="B441" i="9" a="1"/>
  <c r="B484" i="9" a="1"/>
  <c r="B621" i="9" a="1"/>
  <c r="B664" i="9" a="1"/>
  <c r="B696" i="9" a="1"/>
  <c r="B722" i="9" a="1"/>
  <c r="B738" i="9" a="1"/>
  <c r="B754" i="9" a="1"/>
  <c r="B770" i="9" a="1"/>
  <c r="B778" i="9" a="1"/>
  <c r="B794" i="9" a="1"/>
  <c r="B810" i="9" a="1"/>
  <c r="B826" i="9" a="1"/>
  <c r="B834" i="9" a="1"/>
  <c r="B850" i="9" a="1"/>
  <c r="B862" i="9" a="1"/>
  <c r="B866" i="9" a="1"/>
  <c r="B874" i="9" a="1"/>
  <c r="B882" i="9" a="1"/>
  <c r="B890" i="9" a="1"/>
  <c r="B898" i="9" a="1"/>
  <c r="B902" i="9" a="1"/>
  <c r="B910" i="9" a="1"/>
  <c r="B918" i="9" a="1"/>
  <c r="B926" i="9" a="1"/>
  <c r="B930" i="9" a="1"/>
  <c r="B938" i="9" a="1"/>
  <c r="B946" i="9" a="1"/>
  <c r="B954" i="9" a="1"/>
  <c r="B962" i="9" a="1"/>
  <c r="B966" i="9" a="1"/>
  <c r="B974" i="9" a="1"/>
  <c r="B982" i="9" a="1"/>
  <c r="B990" i="9" a="1"/>
  <c r="B998" i="9" a="1"/>
  <c r="B5" i="9" a="1"/>
  <c r="G5" i="8" a="1"/>
  <c r="E6" i="11" l="1"/>
  <c r="J6" i="10"/>
  <c r="J5" i="10"/>
  <c r="E5" i="10"/>
  <c r="C13" i="10"/>
  <c r="C11" i="10"/>
  <c r="C9" i="10"/>
  <c r="C7" i="10"/>
  <c r="C14" i="10"/>
  <c r="C12" i="10"/>
  <c r="C10" i="10"/>
  <c r="C8" i="10"/>
  <c r="C6" i="10"/>
  <c r="C5" i="10"/>
  <c r="B998" i="9"/>
  <c r="B990" i="9"/>
  <c r="B982" i="9"/>
  <c r="B974" i="9"/>
  <c r="B966" i="9"/>
  <c r="B962" i="9"/>
  <c r="B954" i="9"/>
  <c r="B946" i="9"/>
  <c r="B938" i="9"/>
  <c r="B930" i="9"/>
  <c r="B926" i="9"/>
  <c r="B918" i="9"/>
  <c r="B910" i="9"/>
  <c r="B902" i="9"/>
  <c r="B898" i="9"/>
  <c r="B890" i="9"/>
  <c r="B882" i="9"/>
  <c r="B874" i="9"/>
  <c r="B866" i="9"/>
  <c r="B862" i="9"/>
  <c r="B850" i="9"/>
  <c r="B834" i="9"/>
  <c r="B826" i="9"/>
  <c r="B810" i="9"/>
  <c r="B794" i="9"/>
  <c r="B778" i="9"/>
  <c r="B770" i="9"/>
  <c r="B754" i="9"/>
  <c r="B738" i="9"/>
  <c r="B722" i="9"/>
  <c r="B696" i="9"/>
  <c r="B664" i="9"/>
  <c r="B621" i="9"/>
  <c r="B484" i="9"/>
  <c r="B441" i="9"/>
  <c r="B397" i="9"/>
  <c r="B301" i="9"/>
  <c r="B854" i="9"/>
  <c r="B840" i="9"/>
  <c r="B824" i="9"/>
  <c r="B808" i="9"/>
  <c r="B792" i="9"/>
  <c r="B776" i="9"/>
  <c r="B760" i="9"/>
  <c r="B744" i="9"/>
  <c r="B728" i="9"/>
  <c r="B712" i="9"/>
  <c r="B693" i="9"/>
  <c r="B672" i="9"/>
  <c r="B629" i="9"/>
  <c r="B500" i="9"/>
  <c r="B457" i="9"/>
  <c r="B357" i="9"/>
  <c r="B293" i="9"/>
  <c r="B1000" i="9"/>
  <c r="B992" i="9"/>
  <c r="B984" i="9"/>
  <c r="B976" i="9"/>
  <c r="B968" i="9"/>
  <c r="B960" i="9"/>
  <c r="B952" i="9"/>
  <c r="B940" i="9"/>
  <c r="B932" i="9"/>
  <c r="B920" i="9"/>
  <c r="B912" i="9"/>
  <c r="B904" i="9"/>
  <c r="B896" i="9"/>
  <c r="B888" i="9"/>
  <c r="B880" i="9"/>
  <c r="B872" i="9"/>
  <c r="B864" i="9"/>
  <c r="B860" i="9"/>
  <c r="B852" i="9"/>
  <c r="B838" i="9"/>
  <c r="B830" i="9"/>
  <c r="B822" i="9"/>
  <c r="B814" i="9"/>
  <c r="B806" i="9"/>
  <c r="B798" i="9"/>
  <c r="B790" i="9"/>
  <c r="B782" i="9"/>
  <c r="B774" i="9"/>
  <c r="B766" i="9"/>
  <c r="B758" i="9"/>
  <c r="B750" i="9"/>
  <c r="B742" i="9"/>
  <c r="B734" i="9"/>
  <c r="B726" i="9"/>
  <c r="B718" i="9"/>
  <c r="B710" i="9"/>
  <c r="B701" i="9"/>
  <c r="B680" i="9"/>
  <c r="B669" i="9"/>
  <c r="B648" i="9"/>
  <c r="B637" i="9"/>
  <c r="B516" i="9"/>
  <c r="B473" i="9"/>
  <c r="B452" i="9"/>
  <c r="B409" i="9"/>
  <c r="B381" i="9"/>
  <c r="B349" i="9"/>
  <c r="B317" i="9"/>
  <c r="B137" i="9"/>
  <c r="B1002" i="9"/>
  <c r="B994" i="9"/>
  <c r="B986" i="9"/>
  <c r="B978" i="9"/>
  <c r="B970" i="9"/>
  <c r="B958" i="9"/>
  <c r="B950" i="9"/>
  <c r="B942" i="9"/>
  <c r="B934" i="9"/>
  <c r="B922" i="9"/>
  <c r="B914" i="9"/>
  <c r="B906" i="9"/>
  <c r="B894" i="9"/>
  <c r="B886" i="9"/>
  <c r="B878" i="9"/>
  <c r="B870" i="9"/>
  <c r="B856" i="9"/>
  <c r="B842" i="9"/>
  <c r="B818" i="9"/>
  <c r="B802" i="9"/>
  <c r="B786" i="9"/>
  <c r="B762" i="9"/>
  <c r="B746" i="9"/>
  <c r="B730" i="9"/>
  <c r="B714" i="9"/>
  <c r="B706" i="9"/>
  <c r="B685" i="9"/>
  <c r="B653" i="9"/>
  <c r="B632" i="9"/>
  <c r="B505" i="9"/>
  <c r="B420" i="9"/>
  <c r="B365" i="9"/>
  <c r="B333" i="9"/>
  <c r="B263" i="9"/>
  <c r="B848" i="9"/>
  <c r="B832" i="9"/>
  <c r="B816" i="9"/>
  <c r="B800" i="9"/>
  <c r="B784" i="9"/>
  <c r="B768" i="9"/>
  <c r="B752" i="9"/>
  <c r="B736" i="9"/>
  <c r="B720" i="9"/>
  <c r="B704" i="9"/>
  <c r="B661" i="9"/>
  <c r="B640" i="9"/>
  <c r="B521" i="9"/>
  <c r="B436" i="9"/>
  <c r="B389" i="9"/>
  <c r="B325" i="9"/>
  <c r="B73" i="9"/>
  <c r="B1004" i="9"/>
  <c r="B996" i="9"/>
  <c r="B988" i="9"/>
  <c r="B980" i="9"/>
  <c r="B972" i="9"/>
  <c r="B964" i="9"/>
  <c r="B956" i="9"/>
  <c r="B948" i="9"/>
  <c r="B944" i="9"/>
  <c r="B936" i="9"/>
  <c r="B928" i="9"/>
  <c r="B924" i="9"/>
  <c r="B916" i="9"/>
  <c r="B908" i="9"/>
  <c r="B900" i="9"/>
  <c r="B892" i="9"/>
  <c r="B884" i="9"/>
  <c r="B876" i="9"/>
  <c r="B868" i="9"/>
  <c r="B846" i="9"/>
  <c r="B858" i="9"/>
  <c r="B844" i="9"/>
  <c r="B836" i="9"/>
  <c r="B828" i="9"/>
  <c r="B820" i="9"/>
  <c r="B812" i="9"/>
  <c r="B804" i="9"/>
  <c r="B796" i="9"/>
  <c r="B788" i="9"/>
  <c r="B780" i="9"/>
  <c r="B772" i="9"/>
  <c r="B764" i="9"/>
  <c r="B756" i="9"/>
  <c r="B748" i="9"/>
  <c r="B740" i="9"/>
  <c r="B732" i="9"/>
  <c r="B724" i="9"/>
  <c r="B716" i="9"/>
  <c r="B708" i="9"/>
  <c r="B688" i="9"/>
  <c r="B677" i="9"/>
  <c r="B656" i="9"/>
  <c r="B645" i="9"/>
  <c r="B624" i="9"/>
  <c r="B489" i="9"/>
  <c r="B468" i="9"/>
  <c r="B425" i="9"/>
  <c r="B404" i="9"/>
  <c r="B373" i="9"/>
  <c r="B341" i="9"/>
  <c r="B309" i="9"/>
  <c r="B201" i="9"/>
  <c r="B695" i="9"/>
  <c r="B690" i="9"/>
  <c r="B682" i="9"/>
  <c r="B674" i="9"/>
  <c r="B663" i="9"/>
  <c r="B655" i="9"/>
  <c r="B647" i="9"/>
  <c r="B642" i="9"/>
  <c r="B634" i="9"/>
  <c r="B626" i="9"/>
  <c r="B623" i="9"/>
  <c r="B614" i="9"/>
  <c r="B606" i="9"/>
  <c r="B594" i="9"/>
  <c r="B586" i="9"/>
  <c r="B578" i="9"/>
  <c r="B570" i="9"/>
  <c r="B562" i="9"/>
  <c r="B558" i="9"/>
  <c r="B550" i="9"/>
  <c r="B542" i="9"/>
  <c r="B534" i="9"/>
  <c r="B526" i="9"/>
  <c r="B510" i="9"/>
  <c r="B494" i="9"/>
  <c r="B478" i="9"/>
  <c r="B467" i="9"/>
  <c r="B451" i="9"/>
  <c r="B435" i="9"/>
  <c r="B419" i="9"/>
  <c r="B403" i="9"/>
  <c r="B273" i="9"/>
  <c r="B243" i="9"/>
  <c r="B179" i="9"/>
  <c r="B115" i="9"/>
  <c r="B1001" i="9"/>
  <c r="B997" i="9"/>
  <c r="B993" i="9"/>
  <c r="B987" i="9"/>
  <c r="B983" i="9"/>
  <c r="B979" i="9"/>
  <c r="B975" i="9"/>
  <c r="B971" i="9"/>
  <c r="B965" i="9"/>
  <c r="B961" i="9"/>
  <c r="B957" i="9"/>
  <c r="B951" i="9"/>
  <c r="B947" i="9"/>
  <c r="B943" i="9"/>
  <c r="B939" i="9"/>
  <c r="B935" i="9"/>
  <c r="B931" i="9"/>
  <c r="B927" i="9"/>
  <c r="B923" i="9"/>
  <c r="B919" i="9"/>
  <c r="B915" i="9"/>
  <c r="B911" i="9"/>
  <c r="B907" i="9"/>
  <c r="B903" i="9"/>
  <c r="B899" i="9"/>
  <c r="B895" i="9"/>
  <c r="B891" i="9"/>
  <c r="B885" i="9"/>
  <c r="B881" i="9"/>
  <c r="B877" i="9"/>
  <c r="B873" i="9"/>
  <c r="B869" i="9"/>
  <c r="B865" i="9"/>
  <c r="B861" i="9"/>
  <c r="B855" i="9"/>
  <c r="B851" i="9"/>
  <c r="B847" i="9"/>
  <c r="B843" i="9"/>
  <c r="B839" i="9"/>
  <c r="B837" i="9"/>
  <c r="B833" i="9"/>
  <c r="B831" i="9"/>
  <c r="B829" i="9"/>
  <c r="B827" i="9"/>
  <c r="B825" i="9"/>
  <c r="B823" i="9"/>
  <c r="B819" i="9"/>
  <c r="B817" i="9"/>
  <c r="B815" i="9"/>
  <c r="B813" i="9"/>
  <c r="B811" i="9"/>
  <c r="B809" i="9"/>
  <c r="B807" i="9"/>
  <c r="B805" i="9"/>
  <c r="B803" i="9"/>
  <c r="B801" i="9"/>
  <c r="B799" i="9"/>
  <c r="B797" i="9"/>
  <c r="B795" i="9"/>
  <c r="B793" i="9"/>
  <c r="B791" i="9"/>
  <c r="B789" i="9"/>
  <c r="B787" i="9"/>
  <c r="B785" i="9"/>
  <c r="B783" i="9"/>
  <c r="B781" i="9"/>
  <c r="B779" i="9"/>
  <c r="B777" i="9"/>
  <c r="B775" i="9"/>
  <c r="B773" i="9"/>
  <c r="B771" i="9"/>
  <c r="B769" i="9"/>
  <c r="B767" i="9"/>
  <c r="B765" i="9"/>
  <c r="B763" i="9"/>
  <c r="B761" i="9"/>
  <c r="B759" i="9"/>
  <c r="B757" i="9"/>
  <c r="B755" i="9"/>
  <c r="B753" i="9"/>
  <c r="B751" i="9"/>
  <c r="B749" i="9"/>
  <c r="B747" i="9"/>
  <c r="B745" i="9"/>
  <c r="B743" i="9"/>
  <c r="B741" i="9"/>
  <c r="B739" i="9"/>
  <c r="B737" i="9"/>
  <c r="B735" i="9"/>
  <c r="B733" i="9"/>
  <c r="B731" i="9"/>
  <c r="B729" i="9"/>
  <c r="B727" i="9"/>
  <c r="B725" i="9"/>
  <c r="B723" i="9"/>
  <c r="B721" i="9"/>
  <c r="B719" i="9"/>
  <c r="B717" i="9"/>
  <c r="B715" i="9"/>
  <c r="B713" i="9"/>
  <c r="B711" i="9"/>
  <c r="B709" i="9"/>
  <c r="B707" i="9"/>
  <c r="B705" i="9"/>
  <c r="B700" i="9"/>
  <c r="B697" i="9"/>
  <c r="B692" i="9"/>
  <c r="B689" i="9"/>
  <c r="B684" i="9"/>
  <c r="B681" i="9"/>
  <c r="B676" i="9"/>
  <c r="B673" i="9"/>
  <c r="B668" i="9"/>
  <c r="B665" i="9"/>
  <c r="B660" i="9"/>
  <c r="B657" i="9"/>
  <c r="B652" i="9"/>
  <c r="B649" i="9"/>
  <c r="B644" i="9"/>
  <c r="B641" i="9"/>
  <c r="B636" i="9"/>
  <c r="B633" i="9"/>
  <c r="B628" i="9"/>
  <c r="B625" i="9"/>
  <c r="B620" i="9"/>
  <c r="B524" i="9"/>
  <c r="B513" i="9"/>
  <c r="B508" i="9"/>
  <c r="B497" i="9"/>
  <c r="B492" i="9"/>
  <c r="B481" i="9"/>
  <c r="B476" i="9"/>
  <c r="B465" i="9"/>
  <c r="B460" i="9"/>
  <c r="B449" i="9"/>
  <c r="B444" i="9"/>
  <c r="B433" i="9"/>
  <c r="B428" i="9"/>
  <c r="B417" i="9"/>
  <c r="B412" i="9"/>
  <c r="B401" i="9"/>
  <c r="B393" i="9"/>
  <c r="B385" i="9"/>
  <c r="B377" i="9"/>
  <c r="B369" i="9"/>
  <c r="B361" i="9"/>
  <c r="B353" i="9"/>
  <c r="B345" i="9"/>
  <c r="B337" i="9"/>
  <c r="B329" i="9"/>
  <c r="B321" i="9"/>
  <c r="B313" i="9"/>
  <c r="B305" i="9"/>
  <c r="B297" i="9"/>
  <c r="B289" i="9"/>
  <c r="B279" i="9"/>
  <c r="B233" i="9"/>
  <c r="B169" i="9"/>
  <c r="B105" i="9"/>
  <c r="B41" i="9"/>
  <c r="B703" i="9"/>
  <c r="B698" i="9"/>
  <c r="B687" i="9"/>
  <c r="B679" i="9"/>
  <c r="B671" i="9"/>
  <c r="B666" i="9"/>
  <c r="B658" i="9"/>
  <c r="B650" i="9"/>
  <c r="B639" i="9"/>
  <c r="B631" i="9"/>
  <c r="B618" i="9"/>
  <c r="B610" i="9"/>
  <c r="B602" i="9"/>
  <c r="B598" i="9"/>
  <c r="B590" i="9"/>
  <c r="B582" i="9"/>
  <c r="B574" i="9"/>
  <c r="B566" i="9"/>
  <c r="B554" i="9"/>
  <c r="B546" i="9"/>
  <c r="B538" i="9"/>
  <c r="B530" i="9"/>
  <c r="B515" i="9"/>
  <c r="B499" i="9"/>
  <c r="B483" i="9"/>
  <c r="B462" i="9"/>
  <c r="B446" i="9"/>
  <c r="B430" i="9"/>
  <c r="B414" i="9"/>
  <c r="B51" i="9"/>
  <c r="B1003" i="9"/>
  <c r="B999" i="9"/>
  <c r="B995" i="9"/>
  <c r="B991" i="9"/>
  <c r="B989" i="9"/>
  <c r="B985" i="9"/>
  <c r="B981" i="9"/>
  <c r="B977" i="9"/>
  <c r="B973" i="9"/>
  <c r="B969" i="9"/>
  <c r="B967" i="9"/>
  <c r="B963" i="9"/>
  <c r="B959" i="9"/>
  <c r="B955" i="9"/>
  <c r="B953" i="9"/>
  <c r="B949" i="9"/>
  <c r="B945" i="9"/>
  <c r="B941" i="9"/>
  <c r="B937" i="9"/>
  <c r="B933" i="9"/>
  <c r="B929" i="9"/>
  <c r="B925" i="9"/>
  <c r="B921" i="9"/>
  <c r="B917" i="9"/>
  <c r="B913" i="9"/>
  <c r="B909" i="9"/>
  <c r="B905" i="9"/>
  <c r="B901" i="9"/>
  <c r="B897" i="9"/>
  <c r="B893" i="9"/>
  <c r="B889" i="9"/>
  <c r="B887" i="9"/>
  <c r="B883" i="9"/>
  <c r="B879" i="9"/>
  <c r="B875" i="9"/>
  <c r="B871" i="9"/>
  <c r="B867" i="9"/>
  <c r="B863" i="9"/>
  <c r="B859" i="9"/>
  <c r="B857" i="9"/>
  <c r="B853" i="9"/>
  <c r="B849" i="9"/>
  <c r="B845" i="9"/>
  <c r="B841" i="9"/>
  <c r="B835" i="9"/>
  <c r="B821" i="9"/>
  <c r="B702" i="9"/>
  <c r="B699" i="9"/>
  <c r="B694" i="9"/>
  <c r="B691" i="9"/>
  <c r="B686" i="9"/>
  <c r="B683" i="9"/>
  <c r="B678" i="9"/>
  <c r="B675" i="9"/>
  <c r="B670" i="9"/>
  <c r="B667" i="9"/>
  <c r="B662" i="9"/>
  <c r="B659" i="9"/>
  <c r="B654" i="9"/>
  <c r="B651" i="9"/>
  <c r="B646" i="9"/>
  <c r="B643" i="9"/>
  <c r="B638" i="9"/>
  <c r="B635" i="9"/>
  <c r="B630" i="9"/>
  <c r="B627" i="9"/>
  <c r="B622" i="9"/>
  <c r="B619" i="9"/>
  <c r="B616" i="9"/>
  <c r="B612" i="9"/>
  <c r="B608" i="9"/>
  <c r="B604" i="9"/>
  <c r="B600" i="9"/>
  <c r="B596" i="9"/>
  <c r="B592" i="9"/>
  <c r="B588" i="9"/>
  <c r="B584" i="9"/>
  <c r="B580" i="9"/>
  <c r="B576" i="9"/>
  <c r="B572" i="9"/>
  <c r="B568" i="9"/>
  <c r="B564" i="9"/>
  <c r="B560" i="9"/>
  <c r="B556" i="9"/>
  <c r="B552" i="9"/>
  <c r="B548" i="9"/>
  <c r="B544" i="9"/>
  <c r="B540" i="9"/>
  <c r="B536" i="9"/>
  <c r="B532" i="9"/>
  <c r="B528" i="9"/>
  <c r="B523" i="9"/>
  <c r="B518" i="9"/>
  <c r="B507" i="9"/>
  <c r="B502" i="9"/>
  <c r="B491" i="9"/>
  <c r="B486" i="9"/>
  <c r="B475" i="9"/>
  <c r="B470" i="9"/>
  <c r="B459" i="9"/>
  <c r="B454" i="9"/>
  <c r="B443" i="9"/>
  <c r="B438" i="9"/>
  <c r="B427" i="9"/>
  <c r="B422" i="9"/>
  <c r="B411" i="9"/>
  <c r="B406" i="9"/>
  <c r="B211" i="9"/>
  <c r="B147" i="9"/>
  <c r="B83" i="9"/>
  <c r="B19" i="9"/>
  <c r="B525" i="9"/>
  <c r="B520" i="9"/>
  <c r="B517" i="9"/>
  <c r="B512" i="9"/>
  <c r="B509" i="9"/>
  <c r="B504" i="9"/>
  <c r="B501" i="9"/>
  <c r="B496" i="9"/>
  <c r="B493" i="9"/>
  <c r="B488" i="9"/>
  <c r="B485" i="9"/>
  <c r="B480" i="9"/>
  <c r="B477" i="9"/>
  <c r="B472" i="9"/>
  <c r="B469" i="9"/>
  <c r="B464" i="9"/>
  <c r="B461" i="9"/>
  <c r="B456" i="9"/>
  <c r="B453" i="9"/>
  <c r="B448" i="9"/>
  <c r="B445" i="9"/>
  <c r="B440" i="9"/>
  <c r="B437" i="9"/>
  <c r="B432" i="9"/>
  <c r="B429" i="9"/>
  <c r="B424" i="9"/>
  <c r="B421" i="9"/>
  <c r="B416" i="9"/>
  <c r="B413" i="9"/>
  <c r="B408" i="9"/>
  <c r="B405" i="9"/>
  <c r="B399" i="9"/>
  <c r="B395" i="9"/>
  <c r="B391" i="9"/>
  <c r="B387" i="9"/>
  <c r="B383" i="9"/>
  <c r="B379" i="9"/>
  <c r="B375" i="9"/>
  <c r="B371" i="9"/>
  <c r="B367" i="9"/>
  <c r="B363" i="9"/>
  <c r="B359" i="9"/>
  <c r="B355" i="9"/>
  <c r="B351" i="9"/>
  <c r="B347" i="9"/>
  <c r="B343" i="9"/>
  <c r="B339" i="9"/>
  <c r="B335" i="9"/>
  <c r="B331" i="9"/>
  <c r="B327" i="9"/>
  <c r="B323" i="9"/>
  <c r="B319" i="9"/>
  <c r="B315" i="9"/>
  <c r="B311" i="9"/>
  <c r="B307" i="9"/>
  <c r="B303" i="9"/>
  <c r="B299" i="9"/>
  <c r="B295" i="9"/>
  <c r="B291" i="9"/>
  <c r="B287" i="9"/>
  <c r="B271" i="9"/>
  <c r="B249" i="9"/>
  <c r="B217" i="9"/>
  <c r="B185" i="9"/>
  <c r="B153" i="9"/>
  <c r="B121" i="9"/>
  <c r="B89" i="9"/>
  <c r="B57" i="9"/>
  <c r="B25" i="9"/>
  <c r="B617" i="9"/>
  <c r="B615" i="9"/>
  <c r="B613" i="9"/>
  <c r="B611" i="9"/>
  <c r="B609" i="9"/>
  <c r="B607" i="9"/>
  <c r="B605" i="9"/>
  <c r="B603" i="9"/>
  <c r="B601" i="9"/>
  <c r="B599" i="9"/>
  <c r="B597" i="9"/>
  <c r="B595" i="9"/>
  <c r="B593" i="9"/>
  <c r="B591" i="9"/>
  <c r="B589" i="9"/>
  <c r="B587" i="9"/>
  <c r="B585" i="9"/>
  <c r="B583" i="9"/>
  <c r="B581" i="9"/>
  <c r="B579" i="9"/>
  <c r="B577" i="9"/>
  <c r="B575" i="9"/>
  <c r="B573" i="9"/>
  <c r="B571" i="9"/>
  <c r="B569" i="9"/>
  <c r="B567" i="9"/>
  <c r="B565" i="9"/>
  <c r="B563" i="9"/>
  <c r="B561" i="9"/>
  <c r="B559" i="9"/>
  <c r="B557" i="9"/>
  <c r="B555" i="9"/>
  <c r="B553" i="9"/>
  <c r="B551" i="9"/>
  <c r="B549" i="9"/>
  <c r="B547" i="9"/>
  <c r="B545" i="9"/>
  <c r="B543" i="9"/>
  <c r="B541" i="9"/>
  <c r="B539" i="9"/>
  <c r="B537" i="9"/>
  <c r="B535" i="9"/>
  <c r="B533" i="9"/>
  <c r="B531" i="9"/>
  <c r="B529" i="9"/>
  <c r="B527" i="9"/>
  <c r="B522" i="9"/>
  <c r="B519" i="9"/>
  <c r="B514" i="9"/>
  <c r="B511" i="9"/>
  <c r="B506" i="9"/>
  <c r="B503" i="9"/>
  <c r="B498" i="9"/>
  <c r="B495" i="9"/>
  <c r="B490" i="9"/>
  <c r="B487" i="9"/>
  <c r="B482" i="9"/>
  <c r="B479" i="9"/>
  <c r="B474" i="9"/>
  <c r="B471" i="9"/>
  <c r="B466" i="9"/>
  <c r="B463" i="9"/>
  <c r="B458" i="9"/>
  <c r="B455" i="9"/>
  <c r="B450" i="9"/>
  <c r="B447" i="9"/>
  <c r="B442" i="9"/>
  <c r="B439" i="9"/>
  <c r="B434" i="9"/>
  <c r="B431" i="9"/>
  <c r="B426" i="9"/>
  <c r="B423" i="9"/>
  <c r="B418" i="9"/>
  <c r="B415" i="9"/>
  <c r="B410" i="9"/>
  <c r="B407" i="9"/>
  <c r="B402" i="9"/>
  <c r="B281" i="9"/>
  <c r="B265" i="9"/>
  <c r="B259" i="9"/>
  <c r="B227" i="9"/>
  <c r="B195" i="9"/>
  <c r="B163" i="9"/>
  <c r="B131" i="9"/>
  <c r="B99" i="9"/>
  <c r="B67" i="9"/>
  <c r="B35" i="9"/>
  <c r="B13" i="9"/>
  <c r="B400" i="9"/>
  <c r="B398" i="9"/>
  <c r="B396" i="9"/>
  <c r="B394" i="9"/>
  <c r="B392" i="9"/>
  <c r="B390" i="9"/>
  <c r="B388" i="9"/>
  <c r="B386" i="9"/>
  <c r="B384" i="9"/>
  <c r="B382" i="9"/>
  <c r="B380" i="9"/>
  <c r="B378" i="9"/>
  <c r="B376" i="9"/>
  <c r="B374" i="9"/>
  <c r="B372" i="9"/>
  <c r="B370" i="9"/>
  <c r="B368" i="9"/>
  <c r="B366" i="9"/>
  <c r="B364" i="9"/>
  <c r="B362" i="9"/>
  <c r="B360" i="9"/>
  <c r="B358" i="9"/>
  <c r="B356" i="9"/>
  <c r="B354" i="9"/>
  <c r="B352" i="9"/>
  <c r="B350" i="9"/>
  <c r="B348" i="9"/>
  <c r="B346" i="9"/>
  <c r="B344" i="9"/>
  <c r="B342" i="9"/>
  <c r="B340" i="9"/>
  <c r="B338" i="9"/>
  <c r="B336" i="9"/>
  <c r="B334" i="9"/>
  <c r="B332" i="9"/>
  <c r="B330" i="9"/>
  <c r="B328" i="9"/>
  <c r="B326" i="9"/>
  <c r="B324" i="9"/>
  <c r="B322" i="9"/>
  <c r="B320" i="9"/>
  <c r="B318" i="9"/>
  <c r="B316" i="9"/>
  <c r="B314" i="9"/>
  <c r="B312" i="9"/>
  <c r="B310" i="9"/>
  <c r="B308" i="9"/>
  <c r="B306" i="9"/>
  <c r="B304" i="9"/>
  <c r="B302" i="9"/>
  <c r="B300" i="9"/>
  <c r="B298" i="9"/>
  <c r="B296" i="9"/>
  <c r="B294" i="9"/>
  <c r="B292" i="9"/>
  <c r="B290" i="9"/>
  <c r="B288" i="9"/>
  <c r="B283" i="9"/>
  <c r="B275" i="9"/>
  <c r="B267" i="9"/>
  <c r="B257" i="9"/>
  <c r="B241" i="9"/>
  <c r="B225" i="9"/>
  <c r="B209" i="9"/>
  <c r="B193" i="9"/>
  <c r="B177" i="9"/>
  <c r="B161" i="9"/>
  <c r="B145" i="9"/>
  <c r="B129" i="9"/>
  <c r="B113" i="9"/>
  <c r="B97" i="9"/>
  <c r="B81" i="9"/>
  <c r="B65" i="9"/>
  <c r="B49" i="9"/>
  <c r="B33" i="9"/>
  <c r="B17" i="9"/>
  <c r="B285" i="9"/>
  <c r="B277" i="9"/>
  <c r="B269" i="9"/>
  <c r="B261" i="9"/>
  <c r="B251" i="9"/>
  <c r="B235" i="9"/>
  <c r="B219" i="9"/>
  <c r="B203" i="9"/>
  <c r="B187" i="9"/>
  <c r="B171" i="9"/>
  <c r="B155" i="9"/>
  <c r="B139" i="9"/>
  <c r="B123" i="9"/>
  <c r="B107" i="9"/>
  <c r="B91" i="9"/>
  <c r="B75" i="9"/>
  <c r="B59" i="9"/>
  <c r="B43" i="9"/>
  <c r="B27" i="9"/>
  <c r="B9" i="9"/>
  <c r="B253" i="9"/>
  <c r="B245" i="9"/>
  <c r="B237" i="9"/>
  <c r="B229" i="9"/>
  <c r="B221" i="9"/>
  <c r="B213" i="9"/>
  <c r="B205" i="9"/>
  <c r="B197" i="9"/>
  <c r="B189" i="9"/>
  <c r="B181" i="9"/>
  <c r="B173" i="9"/>
  <c r="B165" i="9"/>
  <c r="B157" i="9"/>
  <c r="B149" i="9"/>
  <c r="B141" i="9"/>
  <c r="B133" i="9"/>
  <c r="B125" i="9"/>
  <c r="B117" i="9"/>
  <c r="B109" i="9"/>
  <c r="B101" i="9"/>
  <c r="B93" i="9"/>
  <c r="B85" i="9"/>
  <c r="B77" i="9"/>
  <c r="B69" i="9"/>
  <c r="B61" i="9"/>
  <c r="B53" i="9"/>
  <c r="B45" i="9"/>
  <c r="B37" i="9"/>
  <c r="B29" i="9"/>
  <c r="B21" i="9"/>
  <c r="B286" i="9"/>
  <c r="B284" i="9"/>
  <c r="B282" i="9"/>
  <c r="B280" i="9"/>
  <c r="B278" i="9"/>
  <c r="B276" i="9"/>
  <c r="B274" i="9"/>
  <c r="B272" i="9"/>
  <c r="B270" i="9"/>
  <c r="B268" i="9"/>
  <c r="B266" i="9"/>
  <c r="B264" i="9"/>
  <c r="B262" i="9"/>
  <c r="B260" i="9"/>
  <c r="B255" i="9"/>
  <c r="B247" i="9"/>
  <c r="B239" i="9"/>
  <c r="B231" i="9"/>
  <c r="B223" i="9"/>
  <c r="B215" i="9"/>
  <c r="B207" i="9"/>
  <c r="B199" i="9"/>
  <c r="B191" i="9"/>
  <c r="B183" i="9"/>
  <c r="B175" i="9"/>
  <c r="B167" i="9"/>
  <c r="B159" i="9"/>
  <c r="B151" i="9"/>
  <c r="B143" i="9"/>
  <c r="B135" i="9"/>
  <c r="B127" i="9"/>
  <c r="B119" i="9"/>
  <c r="B111" i="9"/>
  <c r="B103" i="9"/>
  <c r="B95" i="9"/>
  <c r="B87" i="9"/>
  <c r="B79" i="9"/>
  <c r="B71" i="9"/>
  <c r="B63" i="9"/>
  <c r="B55" i="9"/>
  <c r="B47" i="9"/>
  <c r="B39" i="9"/>
  <c r="B31" i="9"/>
  <c r="B23" i="9"/>
  <c r="B15" i="9"/>
  <c r="B11" i="9"/>
  <c r="B7" i="9"/>
  <c r="B258" i="9"/>
  <c r="B256" i="9"/>
  <c r="B254" i="9"/>
  <c r="B252" i="9"/>
  <c r="B250" i="9"/>
  <c r="B248" i="9"/>
  <c r="B246" i="9"/>
  <c r="B244" i="9"/>
  <c r="B242" i="9"/>
  <c r="B240" i="9"/>
  <c r="B238" i="9"/>
  <c r="B236" i="9"/>
  <c r="B234" i="9"/>
  <c r="B232" i="9"/>
  <c r="B230" i="9"/>
  <c r="B228" i="9"/>
  <c r="B226" i="9"/>
  <c r="B224" i="9"/>
  <c r="B222" i="9"/>
  <c r="B220" i="9"/>
  <c r="B218" i="9"/>
  <c r="B216" i="9"/>
  <c r="B214" i="9"/>
  <c r="B212" i="9"/>
  <c r="B210" i="9"/>
  <c r="B208" i="9"/>
  <c r="B206" i="9"/>
  <c r="B204" i="9"/>
  <c r="B202" i="9"/>
  <c r="B200" i="9"/>
  <c r="B198" i="9"/>
  <c r="B196" i="9"/>
  <c r="B194" i="9"/>
  <c r="B192" i="9"/>
  <c r="B190" i="9"/>
  <c r="B188" i="9"/>
  <c r="B186" i="9"/>
  <c r="B184" i="9"/>
  <c r="B182" i="9"/>
  <c r="B180" i="9"/>
  <c r="B178" i="9"/>
  <c r="B176" i="9"/>
  <c r="B174" i="9"/>
  <c r="B172" i="9"/>
  <c r="B170" i="9"/>
  <c r="B168" i="9"/>
  <c r="B166" i="9"/>
  <c r="B164" i="9"/>
  <c r="B162" i="9"/>
  <c r="B160" i="9"/>
  <c r="B158" i="9"/>
  <c r="B156" i="9"/>
  <c r="B154" i="9"/>
  <c r="B152" i="9"/>
  <c r="B150" i="9"/>
  <c r="B148" i="9"/>
  <c r="B146" i="9"/>
  <c r="B144" i="9"/>
  <c r="B142" i="9"/>
  <c r="B140" i="9"/>
  <c r="B138" i="9"/>
  <c r="B136" i="9"/>
  <c r="B134" i="9"/>
  <c r="B132" i="9"/>
  <c r="B130" i="9"/>
  <c r="B128" i="9"/>
  <c r="B126" i="9"/>
  <c r="B124" i="9"/>
  <c r="B122" i="9"/>
  <c r="B120" i="9"/>
  <c r="B118" i="9"/>
  <c r="B116" i="9"/>
  <c r="B114" i="9"/>
  <c r="B112" i="9"/>
  <c r="B110" i="9"/>
  <c r="B108" i="9"/>
  <c r="B106" i="9"/>
  <c r="B104" i="9"/>
  <c r="B102" i="9"/>
  <c r="B100" i="9"/>
  <c r="B98" i="9"/>
  <c r="B96" i="9"/>
  <c r="B94" i="9"/>
  <c r="B92" i="9"/>
  <c r="B90" i="9"/>
  <c r="B88" i="9"/>
  <c r="B86" i="9"/>
  <c r="B84" i="9"/>
  <c r="B82" i="9"/>
  <c r="B80" i="9"/>
  <c r="B78" i="9"/>
  <c r="B76" i="9"/>
  <c r="B74" i="9"/>
  <c r="B72" i="9"/>
  <c r="B70" i="9"/>
  <c r="B68" i="9"/>
  <c r="B66" i="9"/>
  <c r="B64" i="9"/>
  <c r="B62" i="9"/>
  <c r="B60" i="9"/>
  <c r="B58" i="9"/>
  <c r="B56" i="9"/>
  <c r="B54" i="9"/>
  <c r="B52" i="9"/>
  <c r="B50" i="9"/>
  <c r="B48" i="9"/>
  <c r="B46" i="9"/>
  <c r="B44" i="9"/>
  <c r="B42" i="9"/>
  <c r="B40" i="9"/>
  <c r="B38" i="9"/>
  <c r="B36" i="9"/>
  <c r="B34" i="9"/>
  <c r="B32" i="9"/>
  <c r="B30" i="9"/>
  <c r="B28" i="9"/>
  <c r="B26" i="9"/>
  <c r="B24" i="9"/>
  <c r="B22" i="9"/>
  <c r="B20" i="9"/>
  <c r="B18" i="9"/>
  <c r="B16" i="9"/>
  <c r="B14" i="9"/>
  <c r="B12" i="9"/>
  <c r="B10" i="9"/>
  <c r="B8" i="9"/>
  <c r="B6" i="9"/>
  <c r="B5" i="9"/>
  <c r="G5" i="8"/>
  <c r="J7" i="10" a="1"/>
  <c r="F5" i="8" a="1"/>
  <c r="J7" i="10" l="1"/>
  <c r="F5" i="8"/>
  <c r="J8" i="10" a="1"/>
  <c r="B5" i="8" a="1"/>
  <c r="J8" i="10" l="1"/>
  <c r="B5" i="8"/>
  <c r="B6" i="7"/>
  <c r="J9" i="10" a="1"/>
  <c r="C6" i="7" a="1"/>
  <c r="E6" i="7" a="1"/>
  <c r="E5" i="7" a="1"/>
  <c r="J9" i="10" l="1"/>
  <c r="E6" i="7"/>
  <c r="C6" i="7"/>
  <c r="B7" i="7"/>
  <c r="E5" i="7"/>
  <c r="J10" i="10" a="1"/>
  <c r="C7" i="7" a="1"/>
  <c r="E7" i="7" a="1"/>
  <c r="C5" i="7" a="1"/>
  <c r="J10" i="10" l="1"/>
  <c r="E7" i="7"/>
  <c r="C7" i="7"/>
  <c r="B8" i="7"/>
  <c r="C5" i="7"/>
  <c r="E5" i="6"/>
  <c r="J11" i="10" a="1"/>
  <c r="C8" i="7" a="1"/>
  <c r="E8" i="7" a="1"/>
  <c r="F5" i="6" a="1"/>
  <c r="D5" i="6" a="1"/>
  <c r="J11" i="10" l="1"/>
  <c r="E8" i="7"/>
  <c r="C8" i="7"/>
  <c r="B9" i="7"/>
  <c r="F5" i="6"/>
  <c r="D5" i="6"/>
  <c r="J12" i="10" a="1"/>
  <c r="C9" i="7" a="1"/>
  <c r="E9" i="7" a="1"/>
  <c r="C5" i="6" a="1"/>
  <c r="J12" i="10" l="1"/>
  <c r="E9" i="7"/>
  <c r="C9" i="7"/>
  <c r="B10" i="7"/>
  <c r="C5" i="6"/>
  <c r="C16" i="5"/>
  <c r="B16" i="5"/>
  <c r="J13" i="10" a="1"/>
  <c r="C10" i="7" a="1"/>
  <c r="E10" i="7" a="1"/>
  <c r="D16" i="5" a="1"/>
  <c r="J13" i="10" l="1"/>
  <c r="E10" i="7"/>
  <c r="C10" i="7"/>
  <c r="B11" i="7"/>
  <c r="D16" i="5"/>
  <c r="C15" i="5"/>
  <c r="B15" i="5"/>
  <c r="J14" i="10" a="1"/>
  <c r="C11" i="7" a="1"/>
  <c r="E11" i="7" a="1"/>
  <c r="D15" i="5" a="1"/>
  <c r="J14" i="10" l="1"/>
  <c r="E11" i="7"/>
  <c r="C11" i="7"/>
  <c r="B12" i="7"/>
  <c r="D15" i="5"/>
  <c r="C14" i="5"/>
  <c r="B14" i="5"/>
  <c r="C12" i="7" a="1"/>
  <c r="E12" i="7" a="1"/>
  <c r="D14" i="5" a="1"/>
  <c r="E12" i="7" l="1"/>
  <c r="C12" i="7"/>
  <c r="B13" i="7"/>
  <c r="D14" i="5"/>
  <c r="C13" i="5"/>
  <c r="B13" i="5"/>
  <c r="C13" i="7" a="1"/>
  <c r="E13" i="7" a="1"/>
  <c r="D13" i="5" a="1"/>
  <c r="E13" i="7" l="1"/>
  <c r="C13" i="7"/>
  <c r="B14" i="7"/>
  <c r="D13" i="5"/>
  <c r="C12" i="5"/>
  <c r="B12" i="5"/>
  <c r="C14" i="7" a="1"/>
  <c r="E14" i="7" a="1"/>
  <c r="D12" i="5" a="1"/>
  <c r="E14" i="7" l="1"/>
  <c r="C14" i="7"/>
  <c r="D12" i="5"/>
  <c r="C11" i="5"/>
  <c r="B11" i="5"/>
  <c r="D11" i="5" a="1"/>
  <c r="D11" i="5" l="1"/>
  <c r="C10" i="5"/>
  <c r="B10" i="5"/>
  <c r="D10" i="5" a="1"/>
  <c r="D10" i="5" l="1"/>
  <c r="C9" i="5"/>
  <c r="B9" i="5"/>
  <c r="D9" i="5" a="1"/>
  <c r="D9" i="5" l="1"/>
  <c r="C8" i="5"/>
  <c r="B8" i="5"/>
  <c r="D8" i="5" a="1"/>
  <c r="D8" i="5" l="1"/>
  <c r="C7" i="5"/>
  <c r="B7" i="5"/>
  <c r="D7" i="5" a="1"/>
  <c r="D7" i="5" l="1"/>
  <c r="C6" i="5"/>
  <c r="B6" i="5"/>
  <c r="D6" i="5" a="1"/>
  <c r="D6" i="5" l="1"/>
  <c r="C5" i="5"/>
  <c r="B5" i="5"/>
  <c r="B6" i="4"/>
  <c r="F5" i="4"/>
  <c r="D5" i="5" a="1"/>
  <c r="C6" i="4" a="1"/>
  <c r="D6" i="4" a="1"/>
  <c r="D5" i="4" a="1"/>
  <c r="D5" i="5" l="1"/>
  <c r="D6" i="4"/>
  <c r="C6" i="4"/>
  <c r="B7" i="4"/>
  <c r="D5" i="4"/>
  <c r="C7" i="4" a="1"/>
  <c r="D7" i="4" a="1"/>
  <c r="C5" i="4" a="1"/>
  <c r="D7" i="4" l="1"/>
  <c r="C7" i="4"/>
  <c r="B8" i="4"/>
  <c r="C5" i="4"/>
  <c r="C18" i="3"/>
  <c r="B18" i="3"/>
  <c r="C8" i="4" a="1"/>
  <c r="D8" i="4" a="1"/>
  <c r="D18" i="3" a="1"/>
  <c r="E18" i="3" a="1"/>
  <c r="F18" i="3" a="1"/>
  <c r="D8" i="4" l="1"/>
  <c r="C8" i="4"/>
  <c r="B9" i="4"/>
  <c r="F18" i="3"/>
  <c r="E18" i="3"/>
  <c r="D18" i="3"/>
  <c r="C17" i="3"/>
  <c r="B17" i="3"/>
  <c r="C9" i="4" a="1"/>
  <c r="D9" i="4" a="1"/>
  <c r="D17" i="3" a="1"/>
  <c r="E17" i="3" a="1"/>
  <c r="F17" i="3" a="1"/>
  <c r="D9" i="4" l="1"/>
  <c r="C9" i="4"/>
  <c r="B10" i="4"/>
  <c r="F17" i="3"/>
  <c r="E17" i="3"/>
  <c r="D17" i="3"/>
  <c r="C16" i="3"/>
  <c r="B16" i="3"/>
  <c r="C10" i="4" a="1"/>
  <c r="D10" i="4" a="1"/>
  <c r="D16" i="3" a="1"/>
  <c r="E16" i="3" a="1"/>
  <c r="F16" i="3" a="1"/>
  <c r="D10" i="4" l="1"/>
  <c r="C10" i="4"/>
  <c r="B11" i="4"/>
  <c r="F16" i="3"/>
  <c r="E16" i="3"/>
  <c r="D16" i="3"/>
  <c r="C15" i="3"/>
  <c r="B15" i="3"/>
  <c r="C11" i="4" a="1"/>
  <c r="D11" i="4" a="1"/>
  <c r="D15" i="3" a="1"/>
  <c r="E15" i="3" a="1"/>
  <c r="F15" i="3" a="1"/>
  <c r="D11" i="4" l="1"/>
  <c r="C11" i="4"/>
  <c r="B12" i="4"/>
  <c r="F15" i="3"/>
  <c r="E15" i="3"/>
  <c r="D15" i="3"/>
  <c r="C14" i="3"/>
  <c r="B14" i="3"/>
  <c r="C12" i="4" a="1"/>
  <c r="D12" i="4" a="1"/>
  <c r="D14" i="3" a="1"/>
  <c r="E14" i="3" a="1"/>
  <c r="F14" i="3" a="1"/>
  <c r="D12" i="4" l="1"/>
  <c r="C12" i="4"/>
  <c r="B13" i="4"/>
  <c r="F14" i="3"/>
  <c r="E14" i="3"/>
  <c r="D14" i="3"/>
  <c r="C13" i="3"/>
  <c r="B13" i="3"/>
  <c r="C13" i="4" a="1"/>
  <c r="D13" i="4" a="1"/>
  <c r="D13" i="3" a="1"/>
  <c r="E13" i="3" a="1"/>
  <c r="F13" i="3" a="1"/>
  <c r="D13" i="4" l="1"/>
  <c r="C13" i="4"/>
  <c r="B14" i="4"/>
  <c r="F13" i="3"/>
  <c r="E13" i="3"/>
  <c r="D13" i="3"/>
  <c r="C12" i="3"/>
  <c r="B12" i="3"/>
  <c r="C14" i="4" a="1"/>
  <c r="D14" i="4" a="1"/>
  <c r="D12" i="3" a="1"/>
  <c r="E12" i="3" a="1"/>
  <c r="F12" i="3" a="1"/>
  <c r="D14" i="4" l="1"/>
  <c r="C14" i="4"/>
  <c r="B15" i="4"/>
  <c r="F12" i="3"/>
  <c r="E12" i="3"/>
  <c r="D12" i="3"/>
  <c r="C11" i="3"/>
  <c r="B11" i="3"/>
  <c r="C15" i="4" a="1"/>
  <c r="D15" i="4" a="1"/>
  <c r="D11" i="3" a="1"/>
  <c r="E11" i="3" a="1"/>
  <c r="F11" i="3" a="1"/>
  <c r="D15" i="4" l="1"/>
  <c r="C15" i="4"/>
  <c r="B16" i="4"/>
  <c r="F11" i="3"/>
  <c r="E11" i="3"/>
  <c r="D11" i="3"/>
  <c r="C10" i="3"/>
  <c r="B10" i="3"/>
  <c r="C16" i="4" a="1"/>
  <c r="D16" i="4" a="1"/>
  <c r="D10" i="3" a="1"/>
  <c r="E10" i="3" a="1"/>
  <c r="F10" i="3" a="1"/>
  <c r="D16" i="4" l="1"/>
  <c r="C16" i="4"/>
  <c r="F10" i="3"/>
  <c r="E10" i="3"/>
  <c r="D10" i="3"/>
  <c r="C9" i="3"/>
  <c r="B9" i="3"/>
  <c r="D9" i="3" a="1"/>
  <c r="E9" i="3" a="1"/>
  <c r="F9" i="3" a="1"/>
  <c r="F9" i="3" l="1"/>
  <c r="E9" i="3"/>
  <c r="D9" i="3"/>
  <c r="C8" i="3"/>
  <c r="B8" i="3"/>
  <c r="D8" i="3" a="1"/>
  <c r="E8" i="3" a="1"/>
  <c r="F8" i="3" a="1"/>
  <c r="F8" i="3" l="1"/>
  <c r="E8" i="3"/>
  <c r="D8" i="3"/>
  <c r="C7" i="3"/>
  <c r="B7" i="3"/>
  <c r="D7" i="3" a="1"/>
  <c r="E7" i="3" a="1"/>
  <c r="F7" i="3" a="1"/>
  <c r="F7" i="3" l="1"/>
  <c r="E7" i="3"/>
  <c r="D7" i="3"/>
  <c r="C6" i="3"/>
  <c r="B6" i="3"/>
  <c r="D6" i="3" a="1"/>
  <c r="E6" i="3" a="1"/>
  <c r="F6" i="3" a="1"/>
  <c r="F6" i="3" l="1"/>
  <c r="E6" i="3"/>
  <c r="D6" i="3"/>
  <c r="C5" i="3"/>
  <c r="B5" i="3"/>
  <c r="D20" i="2"/>
  <c r="C20" i="2"/>
  <c r="B20" i="2"/>
  <c r="D5" i="3" a="1"/>
  <c r="E5" i="3" a="1"/>
  <c r="F5" i="3" a="1"/>
  <c r="E20" i="2" a="1"/>
  <c r="F5" i="3" l="1"/>
  <c r="E5" i="3"/>
  <c r="D5" i="3"/>
  <c r="E20" i="2"/>
  <c r="D19" i="2"/>
  <c r="C19" i="2"/>
  <c r="B19" i="2"/>
  <c r="E19" i="2" a="1"/>
  <c r="E19" i="2" l="1"/>
  <c r="D18" i="2"/>
  <c r="C18" i="2"/>
  <c r="B18" i="2"/>
  <c r="E18" i="2" a="1"/>
  <c r="E18" i="2" l="1"/>
  <c r="D17" i="2"/>
  <c r="C17" i="2"/>
  <c r="B17" i="2"/>
  <c r="E17" i="2" a="1"/>
  <c r="E17" i="2" l="1"/>
  <c r="D16" i="2"/>
  <c r="C16" i="2"/>
  <c r="B16" i="2"/>
  <c r="E16" i="2" a="1"/>
  <c r="E16" i="2" l="1"/>
  <c r="D15" i="2"/>
  <c r="C15" i="2"/>
  <c r="B15" i="2"/>
  <c r="E15" i="2" a="1"/>
  <c r="E15" i="2" l="1"/>
  <c r="D14" i="2"/>
  <c r="C14" i="2"/>
  <c r="B14" i="2"/>
  <c r="E14" i="2" a="1"/>
  <c r="E14" i="2" l="1"/>
  <c r="C13" i="2"/>
  <c r="B13" i="2"/>
  <c r="E13" i="2" a="1"/>
  <c r="E13" i="2" l="1"/>
  <c r="C12" i="2"/>
  <c r="B12" i="2"/>
  <c r="E12" i="2" a="1"/>
  <c r="E12" i="2" l="1"/>
  <c r="C11" i="2"/>
  <c r="B11" i="2"/>
  <c r="E11" i="2" a="1"/>
  <c r="E11" i="2" l="1"/>
  <c r="C10" i="2"/>
  <c r="B10" i="2"/>
  <c r="E10" i="2" a="1"/>
  <c r="E10" i="2" l="1"/>
  <c r="C9" i="2"/>
  <c r="B9" i="2"/>
  <c r="E9" i="2" a="1"/>
  <c r="E9" i="2" l="1"/>
  <c r="C8" i="2"/>
  <c r="B8" i="2"/>
  <c r="E8" i="2" a="1"/>
  <c r="E8" i="2" l="1"/>
  <c r="C7" i="2"/>
  <c r="B7" i="2"/>
  <c r="E7" i="2" a="1"/>
  <c r="C4" i="2" a="1"/>
  <c r="E7" i="2" l="1"/>
  <c r="C4" i="2"/>
  <c r="F6" i="1"/>
  <c r="F7" i="1" s="1"/>
  <c r="F8" i="1" s="1"/>
  <c r="F9" i="1" s="1"/>
  <c r="F10" i="1" s="1"/>
  <c r="F11" i="1" s="1"/>
  <c r="F12" i="1" s="1"/>
  <c r="F13" i="1" s="1"/>
  <c r="F14" i="1" s="1"/>
  <c r="F15" i="1" s="1"/>
  <c r="F16" i="1" s="1"/>
  <c r="F17" i="1" s="1"/>
  <c r="F18" i="1" s="1"/>
  <c r="F19" i="1" s="1"/>
  <c r="F20" i="1" s="1"/>
  <c r="B6" i="1"/>
  <c r="B7" i="1" s="1"/>
  <c r="B8" i="1" s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G6" i="1" a="1"/>
  <c r="G14" i="1" a="1"/>
  <c r="G9" i="1" a="1"/>
  <c r="G7" i="1" a="1"/>
  <c r="D6" i="1" a="1"/>
  <c r="D14" i="1" a="1"/>
  <c r="D7" i="1" a="1"/>
  <c r="D15" i="1" a="1"/>
  <c r="G8" i="1" a="1"/>
  <c r="G16" i="1" a="1"/>
  <c r="G11" i="1" a="1"/>
  <c r="G13" i="1" a="1"/>
  <c r="D8" i="1" a="1"/>
  <c r="D16" i="1" a="1"/>
  <c r="D9" i="1" a="1"/>
  <c r="D17" i="1" a="1"/>
  <c r="G10" i="1" a="1"/>
  <c r="G18" i="1" a="1"/>
  <c r="G15" i="1" a="1"/>
  <c r="G17" i="1" a="1"/>
  <c r="D10" i="1" a="1"/>
  <c r="D18" i="1" a="1"/>
  <c r="D11" i="1" a="1"/>
  <c r="D19" i="1" a="1"/>
  <c r="G12" i="1" a="1"/>
  <c r="G20" i="1" a="1"/>
  <c r="G19" i="1" a="1"/>
  <c r="G5" i="1" a="1"/>
  <c r="D12" i="1" a="1"/>
  <c r="D20" i="1" a="1"/>
  <c r="D13" i="1" a="1"/>
  <c r="D5" i="1" a="1"/>
  <c r="G17" i="1" l="1"/>
  <c r="G13" i="1"/>
  <c r="G7" i="1"/>
  <c r="G19" i="1"/>
  <c r="G15" i="1"/>
  <c r="G11" i="1"/>
  <c r="G9" i="1"/>
  <c r="G20" i="1"/>
  <c r="G18" i="1"/>
  <c r="G16" i="1"/>
  <c r="G14" i="1"/>
  <c r="G12" i="1"/>
  <c r="G10" i="1"/>
  <c r="G8" i="1"/>
  <c r="G6" i="1"/>
  <c r="G5" i="1"/>
  <c r="D19" i="1"/>
  <c r="D17" i="1"/>
  <c r="D15" i="1"/>
  <c r="D13" i="1"/>
  <c r="D11" i="1"/>
  <c r="D9" i="1"/>
  <c r="D7" i="1"/>
  <c r="D20" i="1"/>
  <c r="D18" i="1"/>
  <c r="D16" i="1"/>
  <c r="D14" i="1"/>
  <c r="D12" i="1"/>
  <c r="D10" i="1"/>
  <c r="D8" i="1"/>
  <c r="D6" i="1"/>
  <c r="D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<sst xmlns="http://schemas.openxmlformats.org/spreadsheetml/2006/main" count="61" uniqueCount="50">
  <si>
    <t>Volume cynlidre</t>
  </si>
  <si>
    <t>r</t>
  </si>
  <si>
    <t>h</t>
  </si>
  <si>
    <t>volume sphere</t>
  </si>
  <si>
    <t>a</t>
  </si>
  <si>
    <t>b</t>
  </si>
  <si>
    <t>valeur essai</t>
  </si>
  <si>
    <t>max</t>
  </si>
  <si>
    <t>c</t>
  </si>
  <si>
    <t>Exercice 1</t>
  </si>
  <si>
    <t>Exercice 2 et 3</t>
  </si>
  <si>
    <t>xp</t>
  </si>
  <si>
    <t>yp</t>
  </si>
  <si>
    <t>x1</t>
  </si>
  <si>
    <t>y1</t>
  </si>
  <si>
    <t>x2</t>
  </si>
  <si>
    <t>y2</t>
  </si>
  <si>
    <t>est dans le rectangle ?</t>
  </si>
  <si>
    <t>Exercice 4</t>
  </si>
  <si>
    <t>n</t>
  </si>
  <si>
    <t>calcul itératif</t>
  </si>
  <si>
    <t>calcul récursif</t>
  </si>
  <si>
    <t>x</t>
  </si>
  <si>
    <t>Exercice 5</t>
  </si>
  <si>
    <t>pgcd</t>
  </si>
  <si>
    <t>Exercice 6</t>
  </si>
  <si>
    <t>Exercice 7</t>
  </si>
  <si>
    <t xml:space="preserve">chaine </t>
  </si>
  <si>
    <t>mirroir itératif</t>
  </si>
  <si>
    <t>mirroir récursif</t>
  </si>
  <si>
    <t>hello world</t>
  </si>
  <si>
    <t>nombre</t>
  </si>
  <si>
    <t>mirroir nombre</t>
  </si>
  <si>
    <t>p</t>
  </si>
  <si>
    <t>X~B(p)</t>
  </si>
  <si>
    <t>X~B(n,p)</t>
  </si>
  <si>
    <t>Exercice 8</t>
  </si>
  <si>
    <t>temps que met la fourmi :</t>
  </si>
  <si>
    <t>taille échantillon</t>
  </si>
  <si>
    <t>E(X)</t>
  </si>
  <si>
    <t>V(X)</t>
  </si>
  <si>
    <t>Exercice 9</t>
  </si>
  <si>
    <t xml:space="preserve">nombre de canards en vie : </t>
  </si>
  <si>
    <t>persistance</t>
  </si>
  <si>
    <t>Exercice 11</t>
  </si>
  <si>
    <t>plus petit entier de persistance 4</t>
  </si>
  <si>
    <t>enters de persistance 4</t>
  </si>
  <si>
    <t>phrase</t>
  </si>
  <si>
    <t>essai</t>
  </si>
  <si>
    <t>clé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</si>
</sst>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3F3F76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4" tint="0.79998168889431442"/>
        <bgColor indexed="65"/>
      </patternFill>
    </fill>
  </fills>
  <borders count="1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7F7F7F"/>
      </left>
      <right/>
      <top/>
      <bottom/>
      <diagonal/>
    </border>
  </borders>
  <cellStyleXfs count="4">
    <xf numFmtId="0" fontId="0" fillId="0" borderId="0"/>
    <xf numFmtId="0" fontId="2" fillId="2" borderId="1" applyNumberFormat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</cellStyleXfs>
  <cellXfs count="53">
    <xf numFmtId="0" fontId="0" fillId="0" borderId="0" xfId="0"/>
    <xf numFmtId="0" fontId="1" fillId="3" borderId="3" xfId="2" applyBorder="1"/>
    <xf numFmtId="0" fontId="1" fillId="3" borderId="4" xfId="2" applyBorder="1"/>
    <xf numFmtId="0" fontId="1" fillId="3" borderId="5" xfId="2" applyBorder="1"/>
    <xf numFmtId="0" fontId="1" fillId="3" borderId="6" xfId="2" applyBorder="1"/>
    <xf numFmtId="0" fontId="1" fillId="3" borderId="7" xfId="2" applyBorder="1"/>
    <xf numFmtId="0" fontId="1" fillId="3" borderId="8" xfId="2" applyBorder="1"/>
    <xf numFmtId="0" fontId="0" fillId="0" borderId="9" xfId="0" applyBorder="1"/>
    <xf numFmtId="2" fontId="0" fillId="0" borderId="10" xfId="0" applyNumberFormat="1" applyBorder="1"/>
    <xf numFmtId="0" fontId="0" fillId="0" borderId="11" xfId="0" applyBorder="1"/>
    <xf numFmtId="0" fontId="0" fillId="0" borderId="12" xfId="0" applyBorder="1"/>
    <xf numFmtId="2" fontId="0" fillId="0" borderId="13" xfId="0" applyNumberFormat="1" applyBorder="1"/>
    <xf numFmtId="0" fontId="0" fillId="3" borderId="5" xfId="2" applyFont="1" applyBorder="1"/>
    <xf numFmtId="0" fontId="0" fillId="0" borderId="10" xfId="0" applyBorder="1"/>
    <xf numFmtId="0" fontId="0" fillId="0" borderId="13" xfId="0" applyBorder="1"/>
    <xf numFmtId="0" fontId="0" fillId="3" borderId="3" xfId="2" applyFont="1" applyBorder="1"/>
    <xf numFmtId="0" fontId="1" fillId="3" borderId="2" xfId="2" applyBorder="1"/>
    <xf numFmtId="0" fontId="0" fillId="0" borderId="17" xfId="0" applyBorder="1"/>
    <xf numFmtId="0" fontId="0" fillId="0" borderId="11" xfId="0" applyBorder="1" applyAlignment="1">
      <alignment wrapText="1"/>
    </xf>
    <xf numFmtId="0" fontId="2" fillId="2" borderId="3" xfId="1" applyBorder="1" applyAlignment="1">
      <alignment horizontal="center"/>
    </xf>
    <xf numFmtId="0" fontId="2" fillId="2" borderId="4" xfId="1" applyBorder="1" applyAlignment="1">
      <alignment horizontal="center"/>
    </xf>
    <xf numFmtId="0" fontId="2" fillId="2" borderId="5" xfId="1" applyBorder="1" applyAlignment="1">
      <alignment horizontal="center"/>
    </xf>
    <xf numFmtId="0" fontId="2" fillId="2" borderId="14" xfId="1" applyBorder="1" applyAlignment="1">
      <alignment horizontal="center"/>
    </xf>
    <xf numFmtId="0" fontId="2" fillId="2" borderId="15" xfId="1" applyBorder="1" applyAlignment="1">
      <alignment horizontal="center"/>
    </xf>
    <xf numFmtId="0" fontId="2" fillId="2" borderId="16" xfId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/>
    <xf numFmtId="0" fontId="0" fillId="3" borderId="3" xfId="2" applyFont="1" applyBorder="1" applyAlignment="1">
      <alignment horizontal="center"/>
    </xf>
    <xf numFmtId="0" fontId="1" fillId="3" borderId="4" xfId="2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0" xfId="0" applyAlignment="1"/>
    <xf numFmtId="0" fontId="1" fillId="3" borderId="2" xfId="2" applyBorder="1" applyAlignment="1"/>
    <xf numFmtId="0" fontId="1" fillId="3" borderId="3" xfId="2" applyBorder="1" applyAlignment="1">
      <alignment horizontal="center"/>
    </xf>
    <xf numFmtId="0" fontId="1" fillId="3" borderId="5" xfId="2" applyBorder="1" applyAlignment="1">
      <alignment horizontal="center"/>
    </xf>
    <xf numFmtId="0" fontId="1" fillId="4" borderId="17" xfId="3" applyBorder="1" applyAlignment="1"/>
    <xf numFmtId="0" fontId="1" fillId="4" borderId="9" xfId="3" applyBorder="1"/>
    <xf numFmtId="0" fontId="1" fillId="4" borderId="10" xfId="3" applyBorder="1"/>
    <xf numFmtId="0" fontId="1" fillId="4" borderId="11" xfId="3" applyBorder="1"/>
    <xf numFmtId="0" fontId="1" fillId="4" borderId="13" xfId="3" applyBorder="1"/>
    <xf numFmtId="0" fontId="1" fillId="3" borderId="3" xfId="2" applyBorder="1" applyAlignment="1">
      <alignment vertical="center"/>
    </xf>
    <xf numFmtId="0" fontId="1" fillId="3" borderId="5" xfId="2" applyBorder="1" applyAlignment="1">
      <alignment vertical="center"/>
    </xf>
    <xf numFmtId="0" fontId="0" fillId="0" borderId="0" xfId="0" applyAlignment="1">
      <alignment vertical="center"/>
    </xf>
    <xf numFmtId="0" fontId="2" fillId="2" borderId="18" xfId="1" applyBorder="1" applyAlignment="1">
      <alignment horizontal="center"/>
    </xf>
    <xf numFmtId="0" fontId="2" fillId="2" borderId="0" xfId="1" applyBorder="1" applyAlignment="1">
      <alignment horizontal="center"/>
    </xf>
    <xf numFmtId="0" fontId="1" fillId="3" borderId="3" xfId="2" applyBorder="1" applyAlignment="1">
      <alignment horizontal="center" vertical="center"/>
    </xf>
    <xf numFmtId="0" fontId="1" fillId="3" borderId="4" xfId="2" applyBorder="1" applyAlignment="1">
      <alignment horizontal="center" vertical="center"/>
    </xf>
    <xf numFmtId="0" fontId="1" fillId="3" borderId="5" xfId="2" applyBorder="1" applyAlignment="1">
      <alignment horizontal="center" vertical="center"/>
    </xf>
    <xf numFmtId="0" fontId="1" fillId="4" borderId="0" xfId="3" applyBorder="1" applyAlignment="1">
      <alignment horizontal="center"/>
    </xf>
    <xf numFmtId="0" fontId="1" fillId="4" borderId="10" xfId="3" applyBorder="1" applyAlignment="1">
      <alignment horizontal="center"/>
    </xf>
    <xf numFmtId="0" fontId="1" fillId="4" borderId="12" xfId="3" applyBorder="1" applyAlignment="1">
      <alignment horizontal="center"/>
    </xf>
    <xf numFmtId="0" fontId="1" fillId="4" borderId="13" xfId="3" applyBorder="1" applyAlignment="1">
      <alignment horizontal="center"/>
    </xf>
    <xf numFmtId="0" fontId="1" fillId="4" borderId="11" xfId="3" applyBorder="1" applyAlignment="1">
      <alignment horizontal="center"/>
    </xf>
  </cellXfs>
  <cellStyles count="4">
    <cellStyle name="20 % - Accent1" xfId="3" builtinId="30"/>
    <cellStyle name="60 % - Accent1" xfId="2" builtinId="32"/>
    <cellStyle name="Entrée" xfId="1" builtinId="20"/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B70DCA-39C0-4823-833A-B8F364412CA0}">
  <sheetPr codeName="Feuil1"/>
  <dimension ref="B1:G20"/>
  <sheetViews>
    <sheetView workbookViewId="0">
      <selection activeCell="E12" sqref="E12"/>
    </sheetView>
  </sheetViews>
  <sheetFormatPr baseColWidth="10" defaultRowHeight="14.4" x14ac:dyDescent="0.3"/>
  <cols>
    <col min="3" max="3" width="12" bestFit="1" customWidth="1"/>
    <col min="4" max="6" width="18.6640625" bestFit="1" customWidth="1"/>
    <col min="7" max="7" width="13.44140625" bestFit="1" customWidth="1"/>
    <col min="8" max="8" width="11.33203125" customWidth="1"/>
    <col min="13" max="13" width="10.5546875" customWidth="1"/>
  </cols>
  <sheetData>
    <row r="1" spans="2:7" ht="15" thickBot="1" x14ac:dyDescent="0.35"/>
    <row r="2" spans="2:7" ht="15" thickBot="1" x14ac:dyDescent="0.35">
      <c r="B2" s="22" t="s">
        <v>9</v>
      </c>
      <c r="C2" s="23"/>
      <c r="D2" s="23"/>
      <c r="E2" s="23"/>
      <c r="F2" s="23"/>
      <c r="G2" s="24"/>
    </row>
    <row r="3" spans="2:7" ht="15" thickBot="1" x14ac:dyDescent="0.35"/>
    <row r="4" spans="2:7" ht="15" thickBot="1" x14ac:dyDescent="0.35">
      <c r="B4" s="1" t="s">
        <v>1</v>
      </c>
      <c r="C4" s="2" t="s">
        <v>2</v>
      </c>
      <c r="D4" s="3" t="s">
        <v>0</v>
      </c>
      <c r="F4" s="1" t="s">
        <v>1</v>
      </c>
      <c r="G4" s="12" t="s">
        <v>3</v>
      </c>
    </row>
    <row r="5" spans="2:7" x14ac:dyDescent="0.3">
      <c r="B5" s="7">
        <v>1</v>
      </c>
      <c r="C5">
        <v>20</v>
      </c>
      <c r="D5" s="8" cm="1">
        <f t="array" ref="D5">volume_cylindre(B5,C5)</f>
        <v>62.831851959228516</v>
      </c>
      <c r="F5" s="7">
        <v>1</v>
      </c>
      <c r="G5" s="13" cm="1">
        <f t="array" ref="G5">volume_sphere(F5)</f>
        <v>4.1887903213500977</v>
      </c>
    </row>
    <row r="6" spans="2:7" x14ac:dyDescent="0.3">
      <c r="B6" s="7">
        <f>B5+1</f>
        <v>2</v>
      </c>
      <c r="C6">
        <v>20</v>
      </c>
      <c r="D6" s="8" cm="1">
        <f t="array" ref="D6">volume_cylindre(B6,C6)</f>
        <v>251.32740783691406</v>
      </c>
      <c r="F6" s="7">
        <f>F5+1</f>
        <v>2</v>
      </c>
      <c r="G6" s="13" cm="1">
        <f t="array" ref="G6">volume_sphere(F6)</f>
        <v>33.510322570800781</v>
      </c>
    </row>
    <row r="7" spans="2:7" x14ac:dyDescent="0.3">
      <c r="B7" s="7">
        <f t="shared" ref="B7:B20" si="0">B6+1</f>
        <v>3</v>
      </c>
      <c r="C7">
        <v>20</v>
      </c>
      <c r="D7" s="8" cm="1">
        <f t="array" ref="D7">volume_cylindre(B7,C7)</f>
        <v>565.4866943359375</v>
      </c>
      <c r="F7" s="7">
        <f t="shared" ref="F7:F20" si="1">F6+1</f>
        <v>3</v>
      </c>
      <c r="G7" s="13" cm="1">
        <f t="array" ref="G7">volume_sphere(F7)</f>
        <v>113.09733581542969</v>
      </c>
    </row>
    <row r="8" spans="2:7" x14ac:dyDescent="0.3">
      <c r="B8" s="7">
        <f t="shared" si="0"/>
        <v>4</v>
      </c>
      <c r="C8">
        <v>20</v>
      </c>
      <c r="D8" s="8" cm="1">
        <f t="array" ref="D8">volume_cylindre(B8,C8)</f>
        <v>1005.3096313476563</v>
      </c>
      <c r="F8" s="7">
        <f t="shared" si="1"/>
        <v>4</v>
      </c>
      <c r="G8" s="13" cm="1">
        <f t="array" ref="G8">volume_sphere(F8)</f>
        <v>268.08258056640625</v>
      </c>
    </row>
    <row r="9" spans="2:7" x14ac:dyDescent="0.3">
      <c r="B9" s="7">
        <f t="shared" si="0"/>
        <v>5</v>
      </c>
      <c r="C9">
        <v>20</v>
      </c>
      <c r="D9" s="8" cm="1">
        <f t="array" ref="D9">volume_cylindre(B9,C9)</f>
        <v>1570.79638671875</v>
      </c>
      <c r="F9" s="7">
        <f t="shared" si="1"/>
        <v>5</v>
      </c>
      <c r="G9" s="13" cm="1">
        <f t="array" ref="G9">volume_sphere(F9)</f>
        <v>523.5987548828125</v>
      </c>
    </row>
    <row r="10" spans="2:7" x14ac:dyDescent="0.3">
      <c r="B10" s="7">
        <f t="shared" si="0"/>
        <v>6</v>
      </c>
      <c r="C10">
        <v>20</v>
      </c>
      <c r="D10" s="8" cm="1">
        <f t="array" ref="D10">volume_cylindre(B10,C10)</f>
        <v>2261.94677734375</v>
      </c>
      <c r="F10" s="7">
        <f t="shared" si="1"/>
        <v>6</v>
      </c>
      <c r="G10" s="13" cm="1">
        <f t="array" ref="G10">volume_sphere(F10)</f>
        <v>904.7786865234375</v>
      </c>
    </row>
    <row r="11" spans="2:7" x14ac:dyDescent="0.3">
      <c r="B11" s="7">
        <f t="shared" si="0"/>
        <v>7</v>
      </c>
      <c r="C11">
        <v>20</v>
      </c>
      <c r="D11" s="8" cm="1">
        <f t="array" ref="D11">volume_cylindre(B11,C11)</f>
        <v>3078.7607421875</v>
      </c>
      <c r="F11" s="7">
        <f t="shared" si="1"/>
        <v>7</v>
      </c>
      <c r="G11" s="13" cm="1">
        <f t="array" ref="G11">volume_sphere(F11)</f>
        <v>1436.7550048828125</v>
      </c>
    </row>
    <row r="12" spans="2:7" x14ac:dyDescent="0.3">
      <c r="B12" s="7">
        <f t="shared" si="0"/>
        <v>8</v>
      </c>
      <c r="C12">
        <v>20</v>
      </c>
      <c r="D12" s="8" cm="1">
        <f t="array" ref="D12">volume_cylindre(B12,C12)</f>
        <v>4021.238525390625</v>
      </c>
      <c r="F12" s="7">
        <f t="shared" si="1"/>
        <v>8</v>
      </c>
      <c r="G12" s="13" cm="1">
        <f t="array" ref="G12">volume_sphere(F12)</f>
        <v>2144.66064453125</v>
      </c>
    </row>
    <row r="13" spans="2:7" x14ac:dyDescent="0.3">
      <c r="B13" s="7">
        <f t="shared" si="0"/>
        <v>9</v>
      </c>
      <c r="C13">
        <v>20</v>
      </c>
      <c r="D13" s="8" cm="1">
        <f t="array" ref="D13">volume_cylindre(B13,C13)</f>
        <v>5089.3798828125</v>
      </c>
      <c r="F13" s="7">
        <f t="shared" si="1"/>
        <v>9</v>
      </c>
      <c r="G13" s="13" cm="1">
        <f t="array" ref="G13">volume_sphere(F13)</f>
        <v>3053.628173828125</v>
      </c>
    </row>
    <row r="14" spans="2:7" x14ac:dyDescent="0.3">
      <c r="B14" s="7">
        <f t="shared" si="0"/>
        <v>10</v>
      </c>
      <c r="C14">
        <v>20</v>
      </c>
      <c r="D14" s="8" cm="1">
        <f t="array" ref="D14">volume_cylindre(B14,C14)</f>
        <v>6283.185546875</v>
      </c>
      <c r="F14" s="7">
        <f t="shared" si="1"/>
        <v>10</v>
      </c>
      <c r="G14" s="13" cm="1">
        <f t="array" ref="G14">volume_sphere(F14)</f>
        <v>4188.7900390625</v>
      </c>
    </row>
    <row r="15" spans="2:7" x14ac:dyDescent="0.3">
      <c r="B15" s="7">
        <f t="shared" si="0"/>
        <v>11</v>
      </c>
      <c r="C15">
        <v>20</v>
      </c>
      <c r="D15" s="8" cm="1">
        <f t="array" ref="D15">volume_cylindre(B15,C15)</f>
        <v>7602.654296875</v>
      </c>
      <c r="F15" s="7">
        <f t="shared" si="1"/>
        <v>11</v>
      </c>
      <c r="G15" s="13" cm="1">
        <f t="array" ref="G15">volume_sphere(F15)</f>
        <v>5575.27978515625</v>
      </c>
    </row>
    <row r="16" spans="2:7" x14ac:dyDescent="0.3">
      <c r="B16" s="7">
        <f t="shared" si="0"/>
        <v>12</v>
      </c>
      <c r="C16">
        <v>20</v>
      </c>
      <c r="D16" s="8" cm="1">
        <f t="array" ref="D16">volume_cylindre(B16,C16)</f>
        <v>9047.787109375</v>
      </c>
      <c r="F16" s="7">
        <f t="shared" si="1"/>
        <v>12</v>
      </c>
      <c r="G16" s="13" cm="1">
        <f t="array" ref="G16">volume_sphere(F16)</f>
        <v>7238.2294921875</v>
      </c>
    </row>
    <row r="17" spans="2:7" x14ac:dyDescent="0.3">
      <c r="B17" s="7">
        <f t="shared" si="0"/>
        <v>13</v>
      </c>
      <c r="C17">
        <v>20</v>
      </c>
      <c r="D17" s="8" cm="1">
        <f t="array" ref="D17">volume_cylindre(B17,C17)</f>
        <v>10618.5830078125</v>
      </c>
      <c r="F17" s="7">
        <f t="shared" si="1"/>
        <v>13</v>
      </c>
      <c r="G17" s="13" cm="1">
        <f t="array" ref="G17">volume_sphere(F17)</f>
        <v>9202.7724609375</v>
      </c>
    </row>
    <row r="18" spans="2:7" x14ac:dyDescent="0.3">
      <c r="B18" s="7">
        <f t="shared" si="0"/>
        <v>14</v>
      </c>
      <c r="C18">
        <v>20</v>
      </c>
      <c r="D18" s="8" cm="1">
        <f t="array" ref="D18">volume_cylindre(B18,C18)</f>
        <v>12315.04296875</v>
      </c>
      <c r="F18" s="7">
        <f t="shared" si="1"/>
        <v>14</v>
      </c>
      <c r="G18" s="13" cm="1">
        <f t="array" ref="G18">volume_sphere(F18)</f>
        <v>11494.0400390625</v>
      </c>
    </row>
    <row r="19" spans="2:7" x14ac:dyDescent="0.3">
      <c r="B19" s="7">
        <f t="shared" si="0"/>
        <v>15</v>
      </c>
      <c r="C19">
        <v>20</v>
      </c>
      <c r="D19" s="8" cm="1">
        <f t="array" ref="D19">volume_cylindre(B19,C19)</f>
        <v>14137.1669921875</v>
      </c>
      <c r="F19" s="7">
        <f t="shared" si="1"/>
        <v>15</v>
      </c>
      <c r="G19" s="13" cm="1">
        <f t="array" ref="G19">volume_sphere(F19)</f>
        <v>14137.1669921875</v>
      </c>
    </row>
    <row r="20" spans="2:7" ht="15" thickBot="1" x14ac:dyDescent="0.35">
      <c r="B20" s="9">
        <f t="shared" si="0"/>
        <v>16</v>
      </c>
      <c r="C20" s="10">
        <v>20</v>
      </c>
      <c r="D20" s="11" cm="1">
        <f t="array" ref="D20">volume_cylindre(B20,C20)</f>
        <v>16084.9541015625</v>
      </c>
      <c r="F20" s="9">
        <f t="shared" si="1"/>
        <v>16</v>
      </c>
      <c r="G20" s="14" cm="1">
        <f t="array" ref="G20">volume_sphere(F20)</f>
        <v>17157.28515625</v>
      </c>
    </row>
  </sheetData>
  <mergeCells count="1">
    <mergeCell ref="B2:G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238395-338E-4C9F-9409-6367184456DC}">
  <sheetPr codeName="Feuil2"/>
  <dimension ref="B1:E20"/>
  <sheetViews>
    <sheetView workbookViewId="0">
      <selection activeCell="F18" sqref="F18"/>
    </sheetView>
  </sheetViews>
  <sheetFormatPr baseColWidth="10" defaultRowHeight="14.4" x14ac:dyDescent="0.3"/>
  <sheetData>
    <row r="1" spans="2:5" ht="15" thickBot="1" x14ac:dyDescent="0.35"/>
    <row r="2" spans="2:5" ht="15" thickBot="1" x14ac:dyDescent="0.35">
      <c r="B2" s="22" t="s">
        <v>10</v>
      </c>
      <c r="C2" s="23"/>
      <c r="D2" s="23"/>
      <c r="E2" s="24"/>
    </row>
    <row r="3" spans="2:5" ht="15" thickBot="1" x14ac:dyDescent="0.35"/>
    <row r="4" spans="2:5" ht="15" thickBot="1" x14ac:dyDescent="0.35">
      <c r="B4" s="15" t="s">
        <v>6</v>
      </c>
      <c r="C4" s="12" cm="1">
        <f t="array" ref="C4">essai()</f>
        <v>49</v>
      </c>
    </row>
    <row r="5" spans="2:5" ht="15" thickBot="1" x14ac:dyDescent="0.35"/>
    <row r="6" spans="2:5" ht="15" thickBot="1" x14ac:dyDescent="0.35">
      <c r="B6" s="1" t="s">
        <v>4</v>
      </c>
      <c r="C6" s="2" t="s">
        <v>5</v>
      </c>
      <c r="D6" s="2" t="s">
        <v>8</v>
      </c>
      <c r="E6" s="3" t="s">
        <v>7</v>
      </c>
    </row>
    <row r="7" spans="2:5" x14ac:dyDescent="0.3">
      <c r="B7" s="7">
        <f ca="1">RANDBETWEEN(0,100)</f>
        <v>46</v>
      </c>
      <c r="C7">
        <f ca="1">RANDBETWEEN(0,100)</f>
        <v>60</v>
      </c>
      <c r="E7" s="13" cm="1">
        <f t="array" aca="1" ref="E7" ca="1">maximum2(B7,C7)</f>
        <v>60</v>
      </c>
    </row>
    <row r="8" spans="2:5" x14ac:dyDescent="0.3">
      <c r="B8" s="7">
        <f ca="1">RANDBETWEEN(0,100)</f>
        <v>19</v>
      </c>
      <c r="C8">
        <f ca="1">RANDBETWEEN(0,100)</f>
        <v>29</v>
      </c>
      <c r="E8" s="13" cm="1">
        <f t="array" aca="1" ref="E8" ca="1">maximum2(B8,C8)</f>
        <v>29</v>
      </c>
    </row>
    <row r="9" spans="2:5" x14ac:dyDescent="0.3">
      <c r="B9" s="7">
        <f ca="1">RANDBETWEEN(0,100)</f>
        <v>92</v>
      </c>
      <c r="C9">
        <f ca="1">RANDBETWEEN(0,100)</f>
        <v>23</v>
      </c>
      <c r="E9" s="13" cm="1">
        <f t="array" aca="1" ref="E9" ca="1">maximum2(B9,C9)</f>
        <v>92</v>
      </c>
    </row>
    <row r="10" spans="2:5" x14ac:dyDescent="0.3">
      <c r="B10" s="7">
        <f ca="1">RANDBETWEEN(0,100)</f>
        <v>70</v>
      </c>
      <c r="C10">
        <f ca="1">RANDBETWEEN(0,100)</f>
        <v>34</v>
      </c>
      <c r="E10" s="13" cm="1">
        <f t="array" aca="1" ref="E10" ca="1">maximum2(B10,C10)</f>
        <v>70</v>
      </c>
    </row>
    <row r="11" spans="2:5" x14ac:dyDescent="0.3">
      <c r="B11" s="7">
        <f ca="1">RANDBETWEEN(0,100)</f>
        <v>37</v>
      </c>
      <c r="C11">
        <f ca="1">RANDBETWEEN(0,100)</f>
        <v>52</v>
      </c>
      <c r="E11" s="13" cm="1">
        <f t="array" aca="1" ref="E11" ca="1">maximum2(B11,C11)</f>
        <v>52</v>
      </c>
    </row>
    <row r="12" spans="2:5" x14ac:dyDescent="0.3">
      <c r="B12" s="7">
        <f ca="1">RANDBETWEEN(0,100)</f>
        <v>63</v>
      </c>
      <c r="C12">
        <f ca="1">RANDBETWEEN(0,100)</f>
        <v>36</v>
      </c>
      <c r="E12" s="13" cm="1">
        <f t="array" aca="1" ref="E12" ca="1">maximum2(B12,C12)</f>
        <v>63</v>
      </c>
    </row>
    <row r="13" spans="2:5" x14ac:dyDescent="0.3">
      <c r="B13" s="7">
        <f ca="1">RANDBETWEEN(0,100)</f>
        <v>51</v>
      </c>
      <c r="C13">
        <f ca="1">RANDBETWEEN(0,100)</f>
        <v>41</v>
      </c>
      <c r="E13" s="13" cm="1">
        <f t="array" aca="1" ref="E13" ca="1">maximum2(B13,C13)</f>
        <v>51</v>
      </c>
    </row>
    <row r="14" spans="2:5" x14ac:dyDescent="0.3">
      <c r="B14" s="7">
        <f ca="1">RANDBETWEEN(0,100)</f>
        <v>21</v>
      </c>
      <c r="C14">
        <f ca="1">RANDBETWEEN(0,100)</f>
        <v>98</v>
      </c>
      <c r="D14">
        <f ca="1">RANDBETWEEN(0,100)</f>
        <v>11</v>
      </c>
      <c r="E14" s="13" cm="1">
        <f t="array" aca="1" ref="E14" ca="1">maximum3(B14,C14,D14)</f>
        <v>98</v>
      </c>
    </row>
    <row r="15" spans="2:5" x14ac:dyDescent="0.3">
      <c r="B15" s="7">
        <f ca="1">RANDBETWEEN(0,100)</f>
        <v>55</v>
      </c>
      <c r="C15">
        <f ca="1">RANDBETWEEN(0,100)</f>
        <v>17</v>
      </c>
      <c r="D15">
        <f ca="1">RANDBETWEEN(0,100)</f>
        <v>8</v>
      </c>
      <c r="E15" s="13" cm="1">
        <f t="array" aca="1" ref="E15" ca="1">maximum3(B15,C15,D15)</f>
        <v>55</v>
      </c>
    </row>
    <row r="16" spans="2:5" x14ac:dyDescent="0.3">
      <c r="B16" s="7">
        <f ca="1">RANDBETWEEN(0,100)</f>
        <v>93</v>
      </c>
      <c r="C16">
        <f ca="1">RANDBETWEEN(0,100)</f>
        <v>56</v>
      </c>
      <c r="D16">
        <f ca="1">RANDBETWEEN(0,100)</f>
        <v>100</v>
      </c>
      <c r="E16" s="13" cm="1">
        <f t="array" aca="1" ref="E16" ca="1">maximum3(B16,C16,D16)</f>
        <v>100</v>
      </c>
    </row>
    <row r="17" spans="2:5" x14ac:dyDescent="0.3">
      <c r="B17" s="7">
        <f ca="1">RANDBETWEEN(0,100)</f>
        <v>20</v>
      </c>
      <c r="C17">
        <f ca="1">RANDBETWEEN(0,100)</f>
        <v>40</v>
      </c>
      <c r="D17">
        <f ca="1">RANDBETWEEN(0,100)</f>
        <v>86</v>
      </c>
      <c r="E17" s="13" cm="1">
        <f t="array" aca="1" ref="E17" ca="1">maximum3(B17,C17,D17)</f>
        <v>86</v>
      </c>
    </row>
    <row r="18" spans="2:5" x14ac:dyDescent="0.3">
      <c r="B18" s="7">
        <f ca="1">RANDBETWEEN(0,100)</f>
        <v>12</v>
      </c>
      <c r="C18">
        <f ca="1">RANDBETWEEN(0,100)</f>
        <v>8</v>
      </c>
      <c r="D18">
        <f ca="1">RANDBETWEEN(0,100)</f>
        <v>95</v>
      </c>
      <c r="E18" s="13" cm="1">
        <f t="array" aca="1" ref="E18" ca="1">maximum3(B18,C18,D18)</f>
        <v>95</v>
      </c>
    </row>
    <row r="19" spans="2:5" x14ac:dyDescent="0.3">
      <c r="B19" s="7">
        <f ca="1">RANDBETWEEN(0,100)</f>
        <v>89</v>
      </c>
      <c r="C19">
        <f ca="1">RANDBETWEEN(0,100)</f>
        <v>47</v>
      </c>
      <c r="D19">
        <f ca="1">RANDBETWEEN(0,100)</f>
        <v>69</v>
      </c>
      <c r="E19" s="13" cm="1">
        <f t="array" aca="1" ref="E19" ca="1">maximum3(B19,C19,D19)</f>
        <v>89</v>
      </c>
    </row>
    <row r="20" spans="2:5" ht="15" thickBot="1" x14ac:dyDescent="0.35">
      <c r="B20" s="9">
        <f ca="1">RANDBETWEEN(0,100)</f>
        <v>77</v>
      </c>
      <c r="C20" s="10">
        <f ca="1">RANDBETWEEN(0,100)</f>
        <v>67</v>
      </c>
      <c r="D20" s="10">
        <f ca="1">RANDBETWEEN(0,100)</f>
        <v>70</v>
      </c>
      <c r="E20" s="14" cm="1">
        <f t="array" aca="1" ref="E20" ca="1">maximum3(B20,C20,D20)</f>
        <v>77</v>
      </c>
    </row>
  </sheetData>
  <mergeCells count="1">
    <mergeCell ref="B2:E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906236-9434-4DC2-868A-291CAEA48A4E}">
  <sheetPr codeName="Feuil3"/>
  <dimension ref="B1:K18"/>
  <sheetViews>
    <sheetView workbookViewId="0">
      <selection activeCell="D25" sqref="D25"/>
    </sheetView>
  </sheetViews>
  <sheetFormatPr baseColWidth="10" defaultRowHeight="14.4" x14ac:dyDescent="0.3"/>
  <sheetData>
    <row r="1" spans="2:11" ht="15" thickBot="1" x14ac:dyDescent="0.35"/>
    <row r="2" spans="2:11" ht="15" thickBot="1" x14ac:dyDescent="0.35">
      <c r="B2" s="22" t="s">
        <v>18</v>
      </c>
      <c r="C2" s="23"/>
      <c r="D2" s="23"/>
      <c r="E2" s="23"/>
      <c r="F2" s="23"/>
      <c r="G2" s="23"/>
      <c r="H2" s="23"/>
      <c r="I2" s="23"/>
      <c r="J2" s="23"/>
      <c r="K2" s="24"/>
    </row>
    <row r="3" spans="2:11" ht="15" thickBot="1" x14ac:dyDescent="0.35"/>
    <row r="4" spans="2:11" ht="15" thickBot="1" x14ac:dyDescent="0.35">
      <c r="B4" s="1" t="s">
        <v>11</v>
      </c>
      <c r="C4" s="2" t="s">
        <v>12</v>
      </c>
      <c r="D4" s="2" t="s">
        <v>17</v>
      </c>
      <c r="E4" s="2" t="s">
        <v>17</v>
      </c>
      <c r="F4" s="3" t="s">
        <v>17</v>
      </c>
      <c r="H4" s="4" t="s">
        <v>13</v>
      </c>
      <c r="I4" s="5" t="s">
        <v>14</v>
      </c>
      <c r="J4" s="5" t="s">
        <v>15</v>
      </c>
      <c r="K4" s="6" t="s">
        <v>16</v>
      </c>
    </row>
    <row r="5" spans="2:11" ht="15" thickBot="1" x14ac:dyDescent="0.35">
      <c r="B5" s="7">
        <f ca="1">RANDBETWEEN(0,20)</f>
        <v>19</v>
      </c>
      <c r="C5">
        <f ca="1">RANDBETWEEN(0,20)</f>
        <v>0</v>
      </c>
      <c r="D5" t="b" cm="1">
        <f t="array" aca="1" ref="D5" ca="1">estDansRectangle($H$5,$I$5,$J$5,$K$5,$B5,$C5)</f>
        <v>0</v>
      </c>
      <c r="E5" t="b" cm="1">
        <f t="array" aca="1" ref="E5" ca="1">estDansRectangle2($H$5,$I$5,$J$5,$K$5,$B5,$C5)</f>
        <v>0</v>
      </c>
      <c r="F5" s="13" t="b" cm="1">
        <f t="array" aca="1" ref="F5" ca="1">estDansRectangle3($H$5,$I$5,$J$5,$K$5,$B5,$C5)</f>
        <v>0</v>
      </c>
      <c r="H5" s="9">
        <v>0</v>
      </c>
      <c r="I5" s="10">
        <v>0</v>
      </c>
      <c r="J5" s="10">
        <v>10</v>
      </c>
      <c r="K5" s="14">
        <v>10</v>
      </c>
    </row>
    <row r="6" spans="2:11" x14ac:dyDescent="0.3">
      <c r="B6" s="7">
        <f ca="1">RANDBETWEEN(0,20)</f>
        <v>19</v>
      </c>
      <c r="C6">
        <f ca="1">RANDBETWEEN(0,20)</f>
        <v>14</v>
      </c>
      <c r="D6" t="b" cm="1">
        <f t="array" aca="1" ref="D6" ca="1">estDansRectangle($H$5,$I$5,$J$5,$K$5,$B6,$C6)</f>
        <v>0</v>
      </c>
      <c r="E6" t="b" cm="1">
        <f t="array" aca="1" ref="E6" ca="1">estDansRectangle2($H$5,$I$5,$J$5,$K$5,$B6,$C6)</f>
        <v>0</v>
      </c>
      <c r="F6" s="13" t="b" cm="1">
        <f t="array" aca="1" ref="F6" ca="1">estDansRectangle3($H$5,$I$5,$J$5,$K$5,$B6,$C6)</f>
        <v>0</v>
      </c>
    </row>
    <row r="7" spans="2:11" x14ac:dyDescent="0.3">
      <c r="B7" s="7">
        <f ca="1">RANDBETWEEN(0,20)</f>
        <v>9</v>
      </c>
      <c r="C7">
        <f ca="1">RANDBETWEEN(0,20)</f>
        <v>5</v>
      </c>
      <c r="D7" t="b" cm="1">
        <f t="array" aca="1" ref="D7" ca="1">estDansRectangle($H$5,$I$5,$J$5,$K$5,$B7,$C7)</f>
        <v>1</v>
      </c>
      <c r="E7" t="b" cm="1">
        <f t="array" aca="1" ref="E7" ca="1">estDansRectangle2($H$5,$I$5,$J$5,$K$5,$B7,$C7)</f>
        <v>1</v>
      </c>
      <c r="F7" s="13" t="b" cm="1">
        <f t="array" aca="1" ref="F7" ca="1">estDansRectangle3($H$5,$I$5,$J$5,$K$5,$B7,$C7)</f>
        <v>1</v>
      </c>
    </row>
    <row r="8" spans="2:11" x14ac:dyDescent="0.3">
      <c r="B8" s="7">
        <f ca="1">RANDBETWEEN(0,20)</f>
        <v>4</v>
      </c>
      <c r="C8">
        <f ca="1">RANDBETWEEN(0,20)</f>
        <v>18</v>
      </c>
      <c r="D8" t="b" cm="1">
        <f t="array" aca="1" ref="D8" ca="1">estDansRectangle($H$5,$I$5,$J$5,$K$5,$B8,$C8)</f>
        <v>0</v>
      </c>
      <c r="E8" t="b" cm="1">
        <f t="array" aca="1" ref="E8" ca="1">estDansRectangle2($H$5,$I$5,$J$5,$K$5,$B8,$C8)</f>
        <v>0</v>
      </c>
      <c r="F8" s="13" t="b" cm="1">
        <f t="array" aca="1" ref="F8" ca="1">estDansRectangle3($H$5,$I$5,$J$5,$K$5,$B8,$C8)</f>
        <v>0</v>
      </c>
    </row>
    <row r="9" spans="2:11" x14ac:dyDescent="0.3">
      <c r="B9" s="7">
        <f ca="1">RANDBETWEEN(0,20)</f>
        <v>19</v>
      </c>
      <c r="C9">
        <f ca="1">RANDBETWEEN(0,20)</f>
        <v>10</v>
      </c>
      <c r="D9" t="b" cm="1">
        <f t="array" aca="1" ref="D9" ca="1">estDansRectangle($H$5,$I$5,$J$5,$K$5,$B9,$C9)</f>
        <v>0</v>
      </c>
      <c r="E9" t="b" cm="1">
        <f t="array" aca="1" ref="E9" ca="1">estDansRectangle2($H$5,$I$5,$J$5,$K$5,$B9,$C9)</f>
        <v>0</v>
      </c>
      <c r="F9" s="13" t="b" cm="1">
        <f t="array" aca="1" ref="F9" ca="1">estDansRectangle3($H$5,$I$5,$J$5,$K$5,$B9,$C9)</f>
        <v>0</v>
      </c>
    </row>
    <row r="10" spans="2:11" x14ac:dyDescent="0.3">
      <c r="B10" s="7">
        <f ca="1">RANDBETWEEN(0,20)</f>
        <v>2</v>
      </c>
      <c r="C10">
        <f ca="1">RANDBETWEEN(0,20)</f>
        <v>6</v>
      </c>
      <c r="D10" t="b" cm="1">
        <f t="array" aca="1" ref="D10" ca="1">estDansRectangle($H$5,$I$5,$J$5,$K$5,$B10,$C10)</f>
        <v>1</v>
      </c>
      <c r="E10" t="b" cm="1">
        <f t="array" aca="1" ref="E10" ca="1">estDansRectangle2($H$5,$I$5,$J$5,$K$5,$B10,$C10)</f>
        <v>1</v>
      </c>
      <c r="F10" s="13" t="b" cm="1">
        <f t="array" aca="1" ref="F10" ca="1">estDansRectangle3($H$5,$I$5,$J$5,$K$5,$B10,$C10)</f>
        <v>1</v>
      </c>
    </row>
    <row r="11" spans="2:11" x14ac:dyDescent="0.3">
      <c r="B11" s="7">
        <f ca="1">RANDBETWEEN(0,20)</f>
        <v>14</v>
      </c>
      <c r="C11">
        <f ca="1">RANDBETWEEN(0,20)</f>
        <v>1</v>
      </c>
      <c r="D11" t="b" cm="1">
        <f t="array" aca="1" ref="D11" ca="1">estDansRectangle($H$5,$I$5,$J$5,$K$5,$B11,$C11)</f>
        <v>0</v>
      </c>
      <c r="E11" t="b" cm="1">
        <f t="array" aca="1" ref="E11" ca="1">estDansRectangle2($H$5,$I$5,$J$5,$K$5,$B11,$C11)</f>
        <v>0</v>
      </c>
      <c r="F11" s="13" t="b" cm="1">
        <f t="array" aca="1" ref="F11" ca="1">estDansRectangle3($H$5,$I$5,$J$5,$K$5,$B11,$C11)</f>
        <v>0</v>
      </c>
    </row>
    <row r="12" spans="2:11" x14ac:dyDescent="0.3">
      <c r="B12" s="7">
        <f ca="1">RANDBETWEEN(0,20)</f>
        <v>10</v>
      </c>
      <c r="C12">
        <f ca="1">RANDBETWEEN(0,20)</f>
        <v>14</v>
      </c>
      <c r="D12" t="b" cm="1">
        <f t="array" aca="1" ref="D12" ca="1">estDansRectangle($H$5,$I$5,$J$5,$K$5,$B12,$C12)</f>
        <v>0</v>
      </c>
      <c r="E12" t="b" cm="1">
        <f t="array" aca="1" ref="E12" ca="1">estDansRectangle2($H$5,$I$5,$J$5,$K$5,$B12,$C12)</f>
        <v>0</v>
      </c>
      <c r="F12" s="13" t="b" cm="1">
        <f t="array" aca="1" ref="F12" ca="1">estDansRectangle3($H$5,$I$5,$J$5,$K$5,$B12,$C12)</f>
        <v>0</v>
      </c>
    </row>
    <row r="13" spans="2:11" x14ac:dyDescent="0.3">
      <c r="B13" s="7">
        <f ca="1">RANDBETWEEN(0,20)</f>
        <v>0</v>
      </c>
      <c r="C13">
        <f ca="1">RANDBETWEEN(0,20)</f>
        <v>6</v>
      </c>
      <c r="D13" t="b" cm="1">
        <f t="array" aca="1" ref="D13" ca="1">estDansRectangle($H$5,$I$5,$J$5,$K$5,$B13,$C13)</f>
        <v>1</v>
      </c>
      <c r="E13" t="b" cm="1">
        <f t="array" aca="1" ref="E13" ca="1">estDansRectangle2($H$5,$I$5,$J$5,$K$5,$B13,$C13)</f>
        <v>1</v>
      </c>
      <c r="F13" s="13" t="b" cm="1">
        <f t="array" aca="1" ref="F13" ca="1">estDansRectangle3($H$5,$I$5,$J$5,$K$5,$B13,$C13)</f>
        <v>1</v>
      </c>
    </row>
    <row r="14" spans="2:11" x14ac:dyDescent="0.3">
      <c r="B14" s="7">
        <f ca="1">RANDBETWEEN(0,20)</f>
        <v>0</v>
      </c>
      <c r="C14">
        <f ca="1">RANDBETWEEN(0,20)</f>
        <v>2</v>
      </c>
      <c r="D14" t="b" cm="1">
        <f t="array" aca="1" ref="D14" ca="1">estDansRectangle($H$5,$I$5,$J$5,$K$5,$B14,$C14)</f>
        <v>1</v>
      </c>
      <c r="E14" t="b" cm="1">
        <f t="array" aca="1" ref="E14" ca="1">estDansRectangle2($H$5,$I$5,$J$5,$K$5,$B14,$C14)</f>
        <v>1</v>
      </c>
      <c r="F14" s="13" t="b" cm="1">
        <f t="array" aca="1" ref="F14" ca="1">estDansRectangle3($H$5,$I$5,$J$5,$K$5,$B14,$C14)</f>
        <v>1</v>
      </c>
    </row>
    <row r="15" spans="2:11" x14ac:dyDescent="0.3">
      <c r="B15" s="7">
        <f ca="1">RANDBETWEEN(0,20)</f>
        <v>15</v>
      </c>
      <c r="C15">
        <f ca="1">RANDBETWEEN(0,20)</f>
        <v>20</v>
      </c>
      <c r="D15" t="b" cm="1">
        <f t="array" aca="1" ref="D15" ca="1">estDansRectangle($H$5,$I$5,$J$5,$K$5,$B15,$C15)</f>
        <v>0</v>
      </c>
      <c r="E15" t="b" cm="1">
        <f t="array" aca="1" ref="E15" ca="1">estDansRectangle2($H$5,$I$5,$J$5,$K$5,$B15,$C15)</f>
        <v>0</v>
      </c>
      <c r="F15" s="13" t="b" cm="1">
        <f t="array" aca="1" ref="F15" ca="1">estDansRectangle3($H$5,$I$5,$J$5,$K$5,$B15,$C15)</f>
        <v>0</v>
      </c>
    </row>
    <row r="16" spans="2:11" x14ac:dyDescent="0.3">
      <c r="B16" s="7">
        <f ca="1">RANDBETWEEN(0,20)</f>
        <v>19</v>
      </c>
      <c r="C16">
        <f ca="1">RANDBETWEEN(0,20)</f>
        <v>18</v>
      </c>
      <c r="D16" t="b" cm="1">
        <f t="array" aca="1" ref="D16" ca="1">estDansRectangle($H$5,$I$5,$J$5,$K$5,$B16,$C16)</f>
        <v>0</v>
      </c>
      <c r="E16" t="b" cm="1">
        <f t="array" aca="1" ref="E16" ca="1">estDansRectangle2($H$5,$I$5,$J$5,$K$5,$B16,$C16)</f>
        <v>0</v>
      </c>
      <c r="F16" s="13" t="b" cm="1">
        <f t="array" aca="1" ref="F16" ca="1">estDansRectangle3($H$5,$I$5,$J$5,$K$5,$B16,$C16)</f>
        <v>0</v>
      </c>
    </row>
    <row r="17" spans="2:6" x14ac:dyDescent="0.3">
      <c r="B17" s="7">
        <f ca="1">RANDBETWEEN(0,20)</f>
        <v>13</v>
      </c>
      <c r="C17">
        <f ca="1">RANDBETWEEN(0,20)</f>
        <v>13</v>
      </c>
      <c r="D17" t="b" cm="1">
        <f t="array" aca="1" ref="D17" ca="1">estDansRectangle($H$5,$I$5,$J$5,$K$5,$B17,$C17)</f>
        <v>0</v>
      </c>
      <c r="E17" t="b" cm="1">
        <f t="array" aca="1" ref="E17" ca="1">estDansRectangle2($H$5,$I$5,$J$5,$K$5,$B17,$C17)</f>
        <v>0</v>
      </c>
      <c r="F17" s="13" t="b" cm="1">
        <f t="array" aca="1" ref="F17" ca="1">estDansRectangle3($H$5,$I$5,$J$5,$K$5,$B17,$C17)</f>
        <v>0</v>
      </c>
    </row>
    <row r="18" spans="2:6" ht="15" thickBot="1" x14ac:dyDescent="0.35">
      <c r="B18" s="9">
        <f ca="1">RANDBETWEEN(0,20)</f>
        <v>12</v>
      </c>
      <c r="C18" s="10">
        <f ca="1">RANDBETWEEN(0,20)</f>
        <v>20</v>
      </c>
      <c r="D18" s="10" t="b" cm="1">
        <f t="array" aca="1" ref="D18" ca="1">estDansRectangle($H$5,$I$5,$J$5,$K$5,$B18,$C18)</f>
        <v>0</v>
      </c>
      <c r="E18" s="10" t="b" cm="1">
        <f t="array" aca="1" ref="E18" ca="1">estDansRectangle2($H$5,$I$5,$J$5,$K$5,$B18,$C18)</f>
        <v>0</v>
      </c>
      <c r="F18" s="14" t="b" cm="1">
        <f t="array" aca="1" ref="F18" ca="1">estDansRectangle3($H$5,$I$5,$J$5,$K$5,$B18,$C18)</f>
        <v>0</v>
      </c>
    </row>
  </sheetData>
  <mergeCells count="1">
    <mergeCell ref="B2:K2"/>
  </mergeCells>
  <conditionalFormatting sqref="D5:F18">
    <cfRule type="cellIs" dxfId="2" priority="1" operator="equal">
      <formula>TRUE</formula>
    </cfRule>
    <cfRule type="cellIs" dxfId="1" priority="2" operator="equal">
      <formula>TRUE</formula>
    </cfRule>
    <cfRule type="cellIs" dxfId="0" priority="3" operator="equal">
      <formula>FALSE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E08ABD-0D49-4B62-92F7-F9DDD4DD5C6C}">
  <sheetPr codeName="Feuil4"/>
  <dimension ref="B1:F16"/>
  <sheetViews>
    <sheetView workbookViewId="0">
      <selection activeCell="B2" sqref="B2:F16"/>
    </sheetView>
  </sheetViews>
  <sheetFormatPr baseColWidth="10" defaultRowHeight="14.4" x14ac:dyDescent="0.3"/>
  <sheetData>
    <row r="1" spans="2:6" ht="15" thickBot="1" x14ac:dyDescent="0.35"/>
    <row r="2" spans="2:6" ht="15" thickBot="1" x14ac:dyDescent="0.35">
      <c r="B2" s="22" t="s">
        <v>23</v>
      </c>
      <c r="C2" s="23"/>
      <c r="D2" s="23"/>
      <c r="E2" s="23"/>
      <c r="F2" s="24"/>
    </row>
    <row r="3" spans="2:6" ht="15" thickBot="1" x14ac:dyDescent="0.35"/>
    <row r="4" spans="2:6" ht="15" thickBot="1" x14ac:dyDescent="0.35">
      <c r="B4" s="1" t="s">
        <v>19</v>
      </c>
      <c r="C4" s="2" t="s">
        <v>20</v>
      </c>
      <c r="D4" s="3" t="s">
        <v>21</v>
      </c>
      <c r="F4" s="16" t="s">
        <v>22</v>
      </c>
    </row>
    <row r="5" spans="2:6" ht="15" thickBot="1" x14ac:dyDescent="0.35">
      <c r="B5" s="7">
        <v>1</v>
      </c>
      <c r="C5" cm="1">
        <f t="array" aca="1" ref="C5" ca="1">calcul_polynome($F$5,B5)</f>
        <v>28</v>
      </c>
      <c r="D5" s="13" cm="1">
        <f t="array" aca="1" ref="D5" ca="1">calcul_polynome_rec($F$5,B5)</f>
        <v>28</v>
      </c>
      <c r="F5" s="17">
        <f ca="1" xml:space="preserve"> RANDBETWEEN(0,100)</f>
        <v>27</v>
      </c>
    </row>
    <row r="6" spans="2:6" x14ac:dyDescent="0.3">
      <c r="B6" s="7">
        <f>B5+1</f>
        <v>2</v>
      </c>
      <c r="C6" cm="1">
        <f t="array" aca="1" ref="C6" ca="1">calcul_polynome($F$5,B6)</f>
        <v>757</v>
      </c>
      <c r="D6" s="13" cm="1">
        <f t="array" aca="1" ref="D6" ca="1">calcul_polynome_rec($F$5,B6)</f>
        <v>757</v>
      </c>
    </row>
    <row r="7" spans="2:6" x14ac:dyDescent="0.3">
      <c r="B7" s="7">
        <f>B6+1</f>
        <v>3</v>
      </c>
      <c r="C7" cm="1">
        <f t="array" aca="1" ref="C7" ca="1">calcul_polynome($F$5,B7)</f>
        <v>20440</v>
      </c>
      <c r="D7" s="13" cm="1">
        <f t="array" aca="1" ref="D7" ca="1">calcul_polynome_rec($F$5,B7)</f>
        <v>20440</v>
      </c>
    </row>
    <row r="8" spans="2:6" x14ac:dyDescent="0.3">
      <c r="B8" s="7">
        <f>B7+1</f>
        <v>4</v>
      </c>
      <c r="C8" cm="1">
        <f t="array" aca="1" ref="C8" ca="1">calcul_polynome($F$5,B8)</f>
        <v>551881</v>
      </c>
      <c r="D8" s="13" cm="1">
        <f t="array" aca="1" ref="D8" ca="1">calcul_polynome_rec($F$5,B8)</f>
        <v>551881</v>
      </c>
    </row>
    <row r="9" spans="2:6" x14ac:dyDescent="0.3">
      <c r="B9" s="7">
        <f>B8+1</f>
        <v>5</v>
      </c>
      <c r="C9" cm="1">
        <f t="array" aca="1" ref="C9" ca="1">calcul_polynome($F$5,B9)</f>
        <v>14900788</v>
      </c>
      <c r="D9" s="13" cm="1">
        <f t="array" aca="1" ref="D9" ca="1">calcul_polynome_rec($F$5,B9)</f>
        <v>14900788</v>
      </c>
    </row>
    <row r="10" spans="2:6" x14ac:dyDescent="0.3">
      <c r="B10" s="7">
        <f>B9+1</f>
        <v>6</v>
      </c>
      <c r="C10" cm="1">
        <f t="array" aca="1" ref="C10" ca="1">calcul_polynome($F$5,B10)</f>
        <v>402321280</v>
      </c>
      <c r="D10" s="13" cm="1">
        <f t="array" aca="1" ref="D10" ca="1">calcul_polynome_rec($F$5,B10)</f>
        <v>402321280</v>
      </c>
    </row>
    <row r="11" spans="2:6" x14ac:dyDescent="0.3">
      <c r="B11" s="7">
        <f>B10+1</f>
        <v>7</v>
      </c>
      <c r="C11" cm="1">
        <f t="array" aca="1" ref="C11" ca="1">calcul_polynome($F$5,B11)</f>
        <v>10862674944</v>
      </c>
      <c r="D11" s="13" cm="1">
        <f t="array" aca="1" ref="D11" ca="1">calcul_polynome_rec($F$5,B11)</f>
        <v>10862674944</v>
      </c>
    </row>
    <row r="12" spans="2:6" x14ac:dyDescent="0.3">
      <c r="B12" s="7">
        <f>B11+1</f>
        <v>8</v>
      </c>
      <c r="C12" cm="1">
        <f t="array" aca="1" ref="C12" ca="1">calcul_polynome($F$5,B12)</f>
        <v>293292212224</v>
      </c>
      <c r="D12" s="13" cm="1">
        <f t="array" aca="1" ref="D12" ca="1">calcul_polynome_rec($F$5,B12)</f>
        <v>293292212224</v>
      </c>
    </row>
    <row r="13" spans="2:6" x14ac:dyDescent="0.3">
      <c r="B13" s="7">
        <f>B12+1</f>
        <v>9</v>
      </c>
      <c r="C13" cm="1">
        <f t="array" aca="1" ref="C13" ca="1">calcul_polynome($F$5,B13)</f>
        <v>7918889992192</v>
      </c>
      <c r="D13" s="13" cm="1">
        <f t="array" aca="1" ref="D13" ca="1">calcul_polynome_rec($F$5,B13)</f>
        <v>7918889992192</v>
      </c>
    </row>
    <row r="14" spans="2:6" x14ac:dyDescent="0.3">
      <c r="B14" s="7">
        <f>B13+1</f>
        <v>10</v>
      </c>
      <c r="C14" cm="1">
        <f t="array" aca="1" ref="C14" ca="1">calcul_polynome($F$5,B14)</f>
        <v>213810015109120</v>
      </c>
      <c r="D14" s="13" cm="1">
        <f t="array" aca="1" ref="D14" ca="1">calcul_polynome_rec($F$5,B14)</f>
        <v>213810031886336</v>
      </c>
    </row>
    <row r="15" spans="2:6" x14ac:dyDescent="0.3">
      <c r="B15" s="7">
        <f>B14+1</f>
        <v>11</v>
      </c>
      <c r="C15" cm="1">
        <f t="array" aca="1" ref="C15" ca="1">calcul_polynome($F$5,B15)</f>
        <v>5772870374391808</v>
      </c>
      <c r="D15" s="13" cm="1">
        <f t="array" aca="1" ref="D15" ca="1">calcul_polynome_rec($F$5,B15)</f>
        <v>5772870911262720</v>
      </c>
    </row>
    <row r="16" spans="2:6" ht="15" thickBot="1" x14ac:dyDescent="0.35">
      <c r="B16" s="9">
        <f>B15+1</f>
        <v>12</v>
      </c>
      <c r="C16" s="10" cm="1">
        <f t="array" aca="1" ref="C16" ca="1">calcul_polynome($F$5,B16)</f>
        <v>1.5586750708790067E+17</v>
      </c>
      <c r="D16" s="14" cm="1">
        <f t="array" aca="1" ref="D16" ca="1">calcul_polynome_rec($F$5,B16)</f>
        <v>1.5586750708790067E+17</v>
      </c>
    </row>
  </sheetData>
  <mergeCells count="1">
    <mergeCell ref="B2:F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8954F7-57A9-40E5-AEB7-32AA8E193F79}">
  <sheetPr codeName="Feuil5"/>
  <dimension ref="B1:D16"/>
  <sheetViews>
    <sheetView workbookViewId="0">
      <selection activeCell="B2" sqref="B2:D16"/>
    </sheetView>
  </sheetViews>
  <sheetFormatPr baseColWidth="10" defaultRowHeight="14.4" x14ac:dyDescent="0.3"/>
  <sheetData>
    <row r="1" spans="2:4" ht="15" thickBot="1" x14ac:dyDescent="0.35"/>
    <row r="2" spans="2:4" ht="15" thickBot="1" x14ac:dyDescent="0.35">
      <c r="B2" s="22" t="s">
        <v>25</v>
      </c>
      <c r="C2" s="23"/>
      <c r="D2" s="24"/>
    </row>
    <row r="3" spans="2:4" ht="15" thickBot="1" x14ac:dyDescent="0.35"/>
    <row r="4" spans="2:4" ht="15" thickBot="1" x14ac:dyDescent="0.35">
      <c r="B4" s="1" t="s">
        <v>4</v>
      </c>
      <c r="C4" s="2" t="s">
        <v>5</v>
      </c>
      <c r="D4" s="3" t="s">
        <v>24</v>
      </c>
    </row>
    <row r="5" spans="2:4" x14ac:dyDescent="0.3">
      <c r="B5" s="7">
        <f ca="1">RANDBETWEEN(1,1000)</f>
        <v>712</v>
      </c>
      <c r="C5">
        <f ca="1">RANDBETWEEN(1,1000)</f>
        <v>649</v>
      </c>
      <c r="D5" s="13" cm="1">
        <f t="array" aca="1" ref="D5" ca="1">plusgcd(B5,C5)</f>
        <v>1</v>
      </c>
    </row>
    <row r="6" spans="2:4" x14ac:dyDescent="0.3">
      <c r="B6" s="7">
        <f ca="1">RANDBETWEEN(1,1000)</f>
        <v>566</v>
      </c>
      <c r="C6">
        <f ca="1">RANDBETWEEN(1,1000)</f>
        <v>685</v>
      </c>
      <c r="D6" s="13" cm="1">
        <f t="array" aca="1" ref="D6" ca="1">plusgcd(B6,C6)</f>
        <v>1</v>
      </c>
    </row>
    <row r="7" spans="2:4" x14ac:dyDescent="0.3">
      <c r="B7" s="7">
        <f ca="1">RANDBETWEEN(1,1000)</f>
        <v>214</v>
      </c>
      <c r="C7">
        <f ca="1">RANDBETWEEN(1,1000)</f>
        <v>728</v>
      </c>
      <c r="D7" s="13" cm="1">
        <f t="array" aca="1" ref="D7" ca="1">plusgcd(B7,C7)</f>
        <v>2</v>
      </c>
    </row>
    <row r="8" spans="2:4" x14ac:dyDescent="0.3">
      <c r="B8" s="7">
        <f ca="1">RANDBETWEEN(1,1000)</f>
        <v>814</v>
      </c>
      <c r="C8">
        <f ca="1">RANDBETWEEN(1,1000)</f>
        <v>878</v>
      </c>
      <c r="D8" s="13" cm="1">
        <f t="array" aca="1" ref="D8" ca="1">plusgcd(B8,C8)</f>
        <v>2</v>
      </c>
    </row>
    <row r="9" spans="2:4" x14ac:dyDescent="0.3">
      <c r="B9" s="7">
        <f ca="1">RANDBETWEEN(1,1000)</f>
        <v>7</v>
      </c>
      <c r="C9">
        <f ca="1">RANDBETWEEN(1,1000)</f>
        <v>111</v>
      </c>
      <c r="D9" s="13" cm="1">
        <f t="array" aca="1" ref="D9" ca="1">plusgcd(B9,C9)</f>
        <v>1</v>
      </c>
    </row>
    <row r="10" spans="2:4" x14ac:dyDescent="0.3">
      <c r="B10" s="7">
        <f ca="1">RANDBETWEEN(1,1000)</f>
        <v>493</v>
      </c>
      <c r="C10">
        <f ca="1">RANDBETWEEN(1,1000)</f>
        <v>226</v>
      </c>
      <c r="D10" s="13" cm="1">
        <f t="array" aca="1" ref="D10" ca="1">plusgcd(B10,C10)</f>
        <v>1</v>
      </c>
    </row>
    <row r="11" spans="2:4" x14ac:dyDescent="0.3">
      <c r="B11" s="7">
        <f ca="1">RANDBETWEEN(1,1000)</f>
        <v>632</v>
      </c>
      <c r="C11">
        <f ca="1">RANDBETWEEN(1,1000)</f>
        <v>524</v>
      </c>
      <c r="D11" s="13" cm="1">
        <f t="array" aca="1" ref="D11" ca="1">plusgcd(B11,C11)</f>
        <v>4</v>
      </c>
    </row>
    <row r="12" spans="2:4" x14ac:dyDescent="0.3">
      <c r="B12" s="7">
        <f ca="1">RANDBETWEEN(1,1000)</f>
        <v>989</v>
      </c>
      <c r="C12">
        <f ca="1">RANDBETWEEN(1,1000)</f>
        <v>637</v>
      </c>
      <c r="D12" s="13" cm="1">
        <f t="array" aca="1" ref="D12" ca="1">plusgcd(B12,C12)</f>
        <v>1</v>
      </c>
    </row>
    <row r="13" spans="2:4" x14ac:dyDescent="0.3">
      <c r="B13" s="7">
        <f ca="1">RANDBETWEEN(1,1000)</f>
        <v>590</v>
      </c>
      <c r="C13">
        <f ca="1">RANDBETWEEN(1,1000)</f>
        <v>673</v>
      </c>
      <c r="D13" s="13" cm="1">
        <f t="array" aca="1" ref="D13" ca="1">plusgcd(B13,C13)</f>
        <v>1</v>
      </c>
    </row>
    <row r="14" spans="2:4" x14ac:dyDescent="0.3">
      <c r="B14" s="7">
        <f ca="1">RANDBETWEEN(1,1000)</f>
        <v>63</v>
      </c>
      <c r="C14">
        <f ca="1">RANDBETWEEN(1,1000)</f>
        <v>399</v>
      </c>
      <c r="D14" s="13" cm="1">
        <f t="array" aca="1" ref="D14" ca="1">plusgcd(B14,C14)</f>
        <v>21</v>
      </c>
    </row>
    <row r="15" spans="2:4" x14ac:dyDescent="0.3">
      <c r="B15" s="7">
        <f ca="1">RANDBETWEEN(1,1000)</f>
        <v>204</v>
      </c>
      <c r="C15">
        <f ca="1">RANDBETWEEN(1,1000)</f>
        <v>693</v>
      </c>
      <c r="D15" s="13" cm="1">
        <f t="array" aca="1" ref="D15" ca="1">plusgcd(B15,C15)</f>
        <v>3</v>
      </c>
    </row>
    <row r="16" spans="2:4" ht="15" thickBot="1" x14ac:dyDescent="0.35">
      <c r="B16" s="9">
        <f ca="1">RANDBETWEEN(1,1000)</f>
        <v>549</v>
      </c>
      <c r="C16" s="10">
        <f ca="1">RANDBETWEEN(1,1000)</f>
        <v>718</v>
      </c>
      <c r="D16" s="14" cm="1">
        <f t="array" aca="1" ref="D16" ca="1">plusgcd(B16,C16)</f>
        <v>1</v>
      </c>
    </row>
  </sheetData>
  <mergeCells count="1">
    <mergeCell ref="B2:D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3E9CB4-580B-4BF2-A721-E075E3C40D37}">
  <sheetPr codeName="Feuil6"/>
  <dimension ref="B1:F5"/>
  <sheetViews>
    <sheetView workbookViewId="0">
      <selection activeCell="B2" sqref="B2:F5"/>
    </sheetView>
  </sheetViews>
  <sheetFormatPr baseColWidth="10" defaultRowHeight="14.4" x14ac:dyDescent="0.3"/>
  <sheetData>
    <row r="1" spans="2:6" ht="15" thickBot="1" x14ac:dyDescent="0.35"/>
    <row r="2" spans="2:6" ht="15" thickBot="1" x14ac:dyDescent="0.35">
      <c r="B2" s="19" t="s">
        <v>26</v>
      </c>
      <c r="C2" s="20"/>
      <c r="D2" s="20"/>
      <c r="E2" s="20"/>
      <c r="F2" s="21"/>
    </row>
    <row r="3" spans="2:6" ht="15" thickBot="1" x14ac:dyDescent="0.35"/>
    <row r="4" spans="2:6" ht="15" thickBot="1" x14ac:dyDescent="0.35">
      <c r="B4" s="1" t="s">
        <v>27</v>
      </c>
      <c r="C4" s="2" t="s">
        <v>28</v>
      </c>
      <c r="D4" s="2" t="s">
        <v>29</v>
      </c>
      <c r="E4" s="2" t="s">
        <v>31</v>
      </c>
      <c r="F4" s="3" t="s">
        <v>32</v>
      </c>
    </row>
    <row r="5" spans="2:6" ht="15" thickBot="1" x14ac:dyDescent="0.35">
      <c r="B5" s="18" t="s">
        <v>30</v>
      </c>
      <c r="C5" s="10" t="str" cm="1">
        <f t="array" ref="C5">mirroir_inter(B5)</f>
        <v>dlrow olleh</v>
      </c>
      <c r="D5" s="10" t="str" cm="1">
        <f t="array" ref="D5">mirroir_rec(B5)</f>
        <v>dlrow olleh</v>
      </c>
      <c r="E5" s="10">
        <f ca="1">RANDBETWEEN(100, 100000)</f>
        <v>14859</v>
      </c>
      <c r="F5" s="14" cm="1">
        <f t="array" aca="1" ref="F5" ca="1">mirroir_nombre(E5)</f>
        <v>95841</v>
      </c>
    </row>
  </sheetData>
  <mergeCells count="1">
    <mergeCell ref="B2:F2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FBB4A-4B14-4F69-A261-F6A863F59221}">
  <sheetPr codeName="Feuil7"/>
  <dimension ref="B1:E14"/>
  <sheetViews>
    <sheetView workbookViewId="0">
      <selection activeCell="B2" sqref="B2:E14"/>
    </sheetView>
  </sheetViews>
  <sheetFormatPr baseColWidth="10" defaultRowHeight="14.4" x14ac:dyDescent="0.3"/>
  <sheetData>
    <row r="1" spans="2:5" ht="15" thickBot="1" x14ac:dyDescent="0.35"/>
    <row r="2" spans="2:5" ht="15" thickBot="1" x14ac:dyDescent="0.35">
      <c r="B2" s="19" t="s">
        <v>36</v>
      </c>
      <c r="C2" s="20"/>
      <c r="D2" s="20"/>
      <c r="E2" s="21"/>
    </row>
    <row r="3" spans="2:5" ht="15" thickBot="1" x14ac:dyDescent="0.35"/>
    <row r="4" spans="2:5" ht="15" thickBot="1" x14ac:dyDescent="0.35">
      <c r="B4" s="1" t="s">
        <v>33</v>
      </c>
      <c r="C4" s="2" t="s">
        <v>34</v>
      </c>
      <c r="D4" s="2" t="s">
        <v>19</v>
      </c>
      <c r="E4" s="3" t="s">
        <v>35</v>
      </c>
    </row>
    <row r="5" spans="2:5" x14ac:dyDescent="0.3">
      <c r="B5" s="7">
        <v>0.1</v>
      </c>
      <c r="C5" s="26" cm="1">
        <f t="array" ref="C5">bernoulli(B5)</f>
        <v>0</v>
      </c>
      <c r="D5" s="26">
        <v>20</v>
      </c>
      <c r="E5" s="13" cm="1">
        <f t="array" ref="E5">binomiale(B5,D5)</f>
        <v>4</v>
      </c>
    </row>
    <row r="6" spans="2:5" x14ac:dyDescent="0.3">
      <c r="B6" s="7">
        <f>B5+0.1</f>
        <v>0.2</v>
      </c>
      <c r="C6" s="26" cm="1">
        <f t="array" ref="C6">bernoulli(B6)</f>
        <v>1</v>
      </c>
      <c r="D6" s="26">
        <v>20</v>
      </c>
      <c r="E6" s="13" cm="1">
        <f t="array" ref="E6">binomiale(B6,D6)</f>
        <v>3</v>
      </c>
    </row>
    <row r="7" spans="2:5" x14ac:dyDescent="0.3">
      <c r="B7" s="7">
        <f>B6+0.1</f>
        <v>0.30000000000000004</v>
      </c>
      <c r="C7" s="26" cm="1">
        <f t="array" ref="C7">bernoulli(B7)</f>
        <v>0</v>
      </c>
      <c r="D7" s="26">
        <v>20</v>
      </c>
      <c r="E7" s="13" cm="1">
        <f t="array" ref="E7">binomiale(B7,D7)</f>
        <v>5</v>
      </c>
    </row>
    <row r="8" spans="2:5" x14ac:dyDescent="0.3">
      <c r="B8" s="7">
        <f>B7+0.1</f>
        <v>0.4</v>
      </c>
      <c r="C8" s="26" cm="1">
        <f t="array" ref="C8">bernoulli(B8)</f>
        <v>0</v>
      </c>
      <c r="D8" s="26">
        <v>20</v>
      </c>
      <c r="E8" s="13" cm="1">
        <f t="array" ref="E8">binomiale(B8,D8)</f>
        <v>5</v>
      </c>
    </row>
    <row r="9" spans="2:5" x14ac:dyDescent="0.3">
      <c r="B9" s="7">
        <f>B8+0.1</f>
        <v>0.5</v>
      </c>
      <c r="C9" s="26" cm="1">
        <f t="array" ref="C9">bernoulli(B9)</f>
        <v>1</v>
      </c>
      <c r="D9" s="26">
        <v>20</v>
      </c>
      <c r="E9" s="13" cm="1">
        <f t="array" ref="E9">binomiale(B9,D9)</f>
        <v>15</v>
      </c>
    </row>
    <row r="10" spans="2:5" x14ac:dyDescent="0.3">
      <c r="B10" s="7">
        <f>B9+0.1</f>
        <v>0.6</v>
      </c>
      <c r="C10" s="26" cm="1">
        <f t="array" ref="C10">bernoulli(B10)</f>
        <v>0</v>
      </c>
      <c r="D10" s="26">
        <v>20</v>
      </c>
      <c r="E10" s="13" cm="1">
        <f t="array" ref="E10">binomiale(B10,D10)</f>
        <v>15</v>
      </c>
    </row>
    <row r="11" spans="2:5" x14ac:dyDescent="0.3">
      <c r="B11" s="7">
        <f>B10+0.1</f>
        <v>0.7</v>
      </c>
      <c r="C11" s="26" cm="1">
        <f t="array" ref="C11">bernoulli(B11)</f>
        <v>0</v>
      </c>
      <c r="D11" s="26">
        <v>20</v>
      </c>
      <c r="E11" s="13" cm="1">
        <f t="array" ref="E11">binomiale(B11,D11)</f>
        <v>10</v>
      </c>
    </row>
    <row r="12" spans="2:5" x14ac:dyDescent="0.3">
      <c r="B12" s="7">
        <f>B11+0.1</f>
        <v>0.79999999999999993</v>
      </c>
      <c r="C12" s="26" cm="1">
        <f t="array" ref="C12">bernoulli(B12)</f>
        <v>0</v>
      </c>
      <c r="D12" s="26">
        <v>20</v>
      </c>
      <c r="E12" s="13" cm="1">
        <f t="array" ref="E12">binomiale(B12,D12)</f>
        <v>15</v>
      </c>
    </row>
    <row r="13" spans="2:5" x14ac:dyDescent="0.3">
      <c r="B13" s="7">
        <f>B12+0.1</f>
        <v>0.89999999999999991</v>
      </c>
      <c r="C13" s="26" cm="1">
        <f t="array" ref="C13">bernoulli(B13)</f>
        <v>1</v>
      </c>
      <c r="D13" s="26">
        <v>20</v>
      </c>
      <c r="E13" s="13" cm="1">
        <f t="array" ref="E13">binomiale(B13,D13)</f>
        <v>16</v>
      </c>
    </row>
    <row r="14" spans="2:5" ht="15" thickBot="1" x14ac:dyDescent="0.35">
      <c r="B14" s="9">
        <f>B13+0.1</f>
        <v>0.99999999999999989</v>
      </c>
      <c r="C14" s="10" cm="1">
        <f t="array" ref="C14">bernoulli(B14)</f>
        <v>1</v>
      </c>
      <c r="D14" s="10">
        <v>20</v>
      </c>
      <c r="E14" s="14" cm="1">
        <f t="array" ref="E14">binomiale(B14,D14)</f>
        <v>20</v>
      </c>
    </row>
  </sheetData>
  <mergeCells count="1">
    <mergeCell ref="B2:E2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FF7B50-5C99-4EAB-B527-51D37AC77D7A}">
  <sheetPr codeName="Feuil8"/>
  <dimension ref="B1:G5"/>
  <sheetViews>
    <sheetView workbookViewId="0">
      <selection activeCell="G17" sqref="G17"/>
    </sheetView>
  </sheetViews>
  <sheetFormatPr baseColWidth="10" defaultRowHeight="14.4" x14ac:dyDescent="0.3"/>
  <sheetData>
    <row r="1" spans="2:7" ht="15" thickBot="1" x14ac:dyDescent="0.35"/>
    <row r="2" spans="2:7" ht="15" thickBot="1" x14ac:dyDescent="0.35">
      <c r="B2" s="22" t="s">
        <v>41</v>
      </c>
      <c r="C2" s="23"/>
      <c r="D2" s="23"/>
      <c r="E2" s="23"/>
      <c r="F2" s="23"/>
      <c r="G2" s="24"/>
    </row>
    <row r="3" spans="2:7" ht="15" thickBot="1" x14ac:dyDescent="0.35"/>
    <row r="4" spans="2:7" ht="15" thickBot="1" x14ac:dyDescent="0.35">
      <c r="B4" s="27" t="s">
        <v>37</v>
      </c>
      <c r="C4" s="28"/>
      <c r="D4" s="28" t="s">
        <v>38</v>
      </c>
      <c r="E4" s="28"/>
      <c r="F4" s="2" t="s">
        <v>39</v>
      </c>
      <c r="G4" s="3" t="s">
        <v>40</v>
      </c>
    </row>
    <row r="5" spans="2:7" ht="15" thickBot="1" x14ac:dyDescent="0.35">
      <c r="B5" s="29" cm="1">
        <f t="array" ref="B5">loi_fourmi()</f>
        <v>4</v>
      </c>
      <c r="C5" s="30"/>
      <c r="D5" s="30">
        <v>1000</v>
      </c>
      <c r="E5" s="30"/>
      <c r="F5" s="10" cm="1">
        <f t="array" ref="F5">esperance_fourmi(D5)</f>
        <v>3.9119999408721924</v>
      </c>
      <c r="G5" s="14" cm="1">
        <f t="array" ref="G5">variance_fourmi(D5)</f>
        <v>7.2550983428955078</v>
      </c>
    </row>
  </sheetData>
  <mergeCells count="5">
    <mergeCell ref="B4:C4"/>
    <mergeCell ref="B5:C5"/>
    <mergeCell ref="D4:E4"/>
    <mergeCell ref="D5:E5"/>
    <mergeCell ref="B2:G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426CF3-32BB-4C6E-99BB-8E3AF705A250}">
  <sheetPr codeName="Feuil9"/>
  <dimension ref="A3:E1004"/>
  <sheetViews>
    <sheetView workbookViewId="0">
      <selection activeCell="G11" sqref="G11"/>
    </sheetView>
  </sheetViews>
  <sheetFormatPr baseColWidth="10" defaultRowHeight="14.4" x14ac:dyDescent="0.3"/>
  <sheetData>
    <row r="3" spans="1:5" ht="15" thickBot="1" x14ac:dyDescent="0.35"/>
    <row r="4" spans="1:5" ht="15" thickBot="1" x14ac:dyDescent="0.35">
      <c r="B4" s="33" t="s">
        <v>42</v>
      </c>
      <c r="C4" s="34"/>
      <c r="D4" s="31"/>
      <c r="E4" s="32" t="s">
        <v>39</v>
      </c>
    </row>
    <row r="5" spans="1:5" ht="15" thickBot="1" x14ac:dyDescent="0.35">
      <c r="A5">
        <v>1</v>
      </c>
      <c r="B5" s="25" cm="1">
        <f t="array" ref="B5">loi_canard()</f>
        <v>2</v>
      </c>
      <c r="C5" s="25"/>
      <c r="D5" s="31"/>
      <c r="E5" s="35">
        <f>AVERAGE(B5:B1004)</f>
        <v>3.5249999999999999</v>
      </c>
    </row>
    <row r="6" spans="1:5" x14ac:dyDescent="0.3">
      <c r="A6">
        <v>2</v>
      </c>
      <c r="B6" s="25" cm="1">
        <f t="array" ref="B6">loi_canard()</f>
        <v>3</v>
      </c>
      <c r="C6" s="25"/>
    </row>
    <row r="7" spans="1:5" x14ac:dyDescent="0.3">
      <c r="A7">
        <v>3</v>
      </c>
      <c r="B7" s="25" cm="1">
        <f t="array" ref="B7">loi_canard()</f>
        <v>3</v>
      </c>
      <c r="C7" s="25"/>
    </row>
    <row r="8" spans="1:5" x14ac:dyDescent="0.3">
      <c r="A8">
        <v>4</v>
      </c>
      <c r="B8" s="25" cm="1">
        <f t="array" ref="B8">loi_canard()</f>
        <v>4</v>
      </c>
      <c r="C8" s="25"/>
    </row>
    <row r="9" spans="1:5" x14ac:dyDescent="0.3">
      <c r="A9">
        <v>5</v>
      </c>
      <c r="B9" s="25" cm="1">
        <f t="array" ref="B9">loi_canard()</f>
        <v>3</v>
      </c>
      <c r="C9" s="25"/>
    </row>
    <row r="10" spans="1:5" x14ac:dyDescent="0.3">
      <c r="A10">
        <v>6</v>
      </c>
      <c r="B10" s="25" cm="1">
        <f t="array" ref="B10">loi_canard()</f>
        <v>3</v>
      </c>
      <c r="C10" s="25"/>
    </row>
    <row r="11" spans="1:5" x14ac:dyDescent="0.3">
      <c r="A11">
        <v>7</v>
      </c>
      <c r="B11" s="25" cm="1">
        <f t="array" ref="B11">loi_canard()</f>
        <v>2</v>
      </c>
      <c r="C11" s="25"/>
    </row>
    <row r="12" spans="1:5" x14ac:dyDescent="0.3">
      <c r="A12">
        <v>8</v>
      </c>
      <c r="B12" s="25" cm="1">
        <f t="array" ref="B12">loi_canard()</f>
        <v>2</v>
      </c>
      <c r="C12" s="25"/>
    </row>
    <row r="13" spans="1:5" x14ac:dyDescent="0.3">
      <c r="A13">
        <v>9</v>
      </c>
      <c r="B13" s="25" cm="1">
        <f t="array" ref="B13">loi_canard()</f>
        <v>1</v>
      </c>
      <c r="C13" s="25"/>
    </row>
    <row r="14" spans="1:5" x14ac:dyDescent="0.3">
      <c r="A14">
        <v>10</v>
      </c>
      <c r="B14" s="25" cm="1">
        <f t="array" ref="B14">loi_canard()</f>
        <v>5</v>
      </c>
      <c r="C14" s="25"/>
    </row>
    <row r="15" spans="1:5" x14ac:dyDescent="0.3">
      <c r="A15">
        <v>11</v>
      </c>
      <c r="B15" s="25" cm="1">
        <f t="array" ref="B15">loi_canard()</f>
        <v>4</v>
      </c>
      <c r="C15" s="25"/>
    </row>
    <row r="16" spans="1:5" x14ac:dyDescent="0.3">
      <c r="A16">
        <v>12</v>
      </c>
      <c r="B16" s="25" cm="1">
        <f t="array" ref="B16">loi_canard()</f>
        <v>3</v>
      </c>
      <c r="C16" s="25"/>
    </row>
    <row r="17" spans="1:3" x14ac:dyDescent="0.3">
      <c r="A17">
        <v>13</v>
      </c>
      <c r="B17" s="25" cm="1">
        <f t="array" ref="B17">loi_canard()</f>
        <v>4</v>
      </c>
      <c r="C17" s="25"/>
    </row>
    <row r="18" spans="1:3" x14ac:dyDescent="0.3">
      <c r="A18">
        <v>14</v>
      </c>
      <c r="B18" s="25" cm="1">
        <f t="array" ref="B18">loi_canard()</f>
        <v>2</v>
      </c>
      <c r="C18" s="25"/>
    </row>
    <row r="19" spans="1:3" x14ac:dyDescent="0.3">
      <c r="A19">
        <v>15</v>
      </c>
      <c r="B19" s="25" cm="1">
        <f t="array" ref="B19">loi_canard()</f>
        <v>2</v>
      </c>
      <c r="C19" s="25"/>
    </row>
    <row r="20" spans="1:3" x14ac:dyDescent="0.3">
      <c r="A20">
        <v>16</v>
      </c>
      <c r="B20" s="25" cm="1">
        <f t="array" ref="B20">loi_canard()</f>
        <v>3</v>
      </c>
      <c r="C20" s="25"/>
    </row>
    <row r="21" spans="1:3" x14ac:dyDescent="0.3">
      <c r="A21">
        <v>17</v>
      </c>
      <c r="B21" s="25" cm="1">
        <f t="array" ref="B21">loi_canard()</f>
        <v>6</v>
      </c>
      <c r="C21" s="25"/>
    </row>
    <row r="22" spans="1:3" x14ac:dyDescent="0.3">
      <c r="A22">
        <v>18</v>
      </c>
      <c r="B22" s="25" cm="1">
        <f t="array" ref="B22">loi_canard()</f>
        <v>3</v>
      </c>
      <c r="C22" s="25"/>
    </row>
    <row r="23" spans="1:3" x14ac:dyDescent="0.3">
      <c r="A23">
        <v>19</v>
      </c>
      <c r="B23" s="25" cm="1">
        <f t="array" ref="B23">loi_canard()</f>
        <v>5</v>
      </c>
      <c r="C23" s="25"/>
    </row>
    <row r="24" spans="1:3" x14ac:dyDescent="0.3">
      <c r="A24">
        <v>20</v>
      </c>
      <c r="B24" s="25" cm="1">
        <f t="array" ref="B24">loi_canard()</f>
        <v>3</v>
      </c>
      <c r="C24" s="25"/>
    </row>
    <row r="25" spans="1:3" x14ac:dyDescent="0.3">
      <c r="A25">
        <v>21</v>
      </c>
      <c r="B25" s="25" cm="1">
        <f t="array" ref="B25">loi_canard()</f>
        <v>3</v>
      </c>
      <c r="C25" s="25"/>
    </row>
    <row r="26" spans="1:3" x14ac:dyDescent="0.3">
      <c r="A26">
        <v>22</v>
      </c>
      <c r="B26" s="25" cm="1">
        <f t="array" ref="B26">loi_canard()</f>
        <v>3</v>
      </c>
      <c r="C26" s="25"/>
    </row>
    <row r="27" spans="1:3" x14ac:dyDescent="0.3">
      <c r="A27">
        <v>23</v>
      </c>
      <c r="B27" s="25" cm="1">
        <f t="array" ref="B27">loi_canard()</f>
        <v>2</v>
      </c>
      <c r="C27" s="25"/>
    </row>
    <row r="28" spans="1:3" x14ac:dyDescent="0.3">
      <c r="A28">
        <v>24</v>
      </c>
      <c r="B28" s="25" cm="1">
        <f t="array" ref="B28">loi_canard()</f>
        <v>3</v>
      </c>
      <c r="C28" s="25"/>
    </row>
    <row r="29" spans="1:3" x14ac:dyDescent="0.3">
      <c r="A29">
        <v>25</v>
      </c>
      <c r="B29" s="25" cm="1">
        <f t="array" ref="B29">loi_canard()</f>
        <v>3</v>
      </c>
      <c r="C29" s="25"/>
    </row>
    <row r="30" spans="1:3" x14ac:dyDescent="0.3">
      <c r="A30">
        <v>26</v>
      </c>
      <c r="B30" s="25" cm="1">
        <f t="array" ref="B30">loi_canard()</f>
        <v>3</v>
      </c>
      <c r="C30" s="25"/>
    </row>
    <row r="31" spans="1:3" x14ac:dyDescent="0.3">
      <c r="A31">
        <v>27</v>
      </c>
      <c r="B31" s="25" cm="1">
        <f t="array" ref="B31">loi_canard()</f>
        <v>3</v>
      </c>
      <c r="C31" s="25"/>
    </row>
    <row r="32" spans="1:3" x14ac:dyDescent="0.3">
      <c r="A32">
        <v>28</v>
      </c>
      <c r="B32" s="25" cm="1">
        <f t="array" ref="B32">loi_canard()</f>
        <v>4</v>
      </c>
      <c r="C32" s="25"/>
    </row>
    <row r="33" spans="1:3" x14ac:dyDescent="0.3">
      <c r="A33">
        <v>29</v>
      </c>
      <c r="B33" s="25" cm="1">
        <f t="array" ref="B33">loi_canard()</f>
        <v>3</v>
      </c>
      <c r="C33" s="25"/>
    </row>
    <row r="34" spans="1:3" x14ac:dyDescent="0.3">
      <c r="A34">
        <v>30</v>
      </c>
      <c r="B34" s="25" cm="1">
        <f t="array" ref="B34">loi_canard()</f>
        <v>3</v>
      </c>
      <c r="C34" s="25"/>
    </row>
    <row r="35" spans="1:3" x14ac:dyDescent="0.3">
      <c r="A35">
        <v>31</v>
      </c>
      <c r="B35" s="25" cm="1">
        <f t="array" ref="B35">loi_canard()</f>
        <v>2</v>
      </c>
      <c r="C35" s="25"/>
    </row>
    <row r="36" spans="1:3" x14ac:dyDescent="0.3">
      <c r="A36">
        <v>32</v>
      </c>
      <c r="B36" s="25" cm="1">
        <f t="array" ref="B36">loi_canard()</f>
        <v>3</v>
      </c>
      <c r="C36" s="25"/>
    </row>
    <row r="37" spans="1:3" x14ac:dyDescent="0.3">
      <c r="A37">
        <v>33</v>
      </c>
      <c r="B37" s="25" cm="1">
        <f t="array" ref="B37">loi_canard()</f>
        <v>4</v>
      </c>
      <c r="C37" s="25"/>
    </row>
    <row r="38" spans="1:3" x14ac:dyDescent="0.3">
      <c r="A38">
        <v>34</v>
      </c>
      <c r="B38" s="25" cm="1">
        <f t="array" ref="B38">loi_canard()</f>
        <v>4</v>
      </c>
      <c r="C38" s="25"/>
    </row>
    <row r="39" spans="1:3" x14ac:dyDescent="0.3">
      <c r="A39">
        <v>35</v>
      </c>
      <c r="B39" s="25" cm="1">
        <f t="array" ref="B39">loi_canard()</f>
        <v>3</v>
      </c>
      <c r="C39" s="25"/>
    </row>
    <row r="40" spans="1:3" x14ac:dyDescent="0.3">
      <c r="A40">
        <v>36</v>
      </c>
      <c r="B40" s="25" cm="1">
        <f t="array" ref="B40">loi_canard()</f>
        <v>4</v>
      </c>
      <c r="C40" s="25"/>
    </row>
    <row r="41" spans="1:3" x14ac:dyDescent="0.3">
      <c r="A41">
        <v>37</v>
      </c>
      <c r="B41" s="25" cm="1">
        <f t="array" ref="B41">loi_canard()</f>
        <v>3</v>
      </c>
      <c r="C41" s="25"/>
    </row>
    <row r="42" spans="1:3" x14ac:dyDescent="0.3">
      <c r="A42">
        <v>38</v>
      </c>
      <c r="B42" s="25" cm="1">
        <f t="array" ref="B42">loi_canard()</f>
        <v>4</v>
      </c>
      <c r="C42" s="25"/>
    </row>
    <row r="43" spans="1:3" x14ac:dyDescent="0.3">
      <c r="A43">
        <v>39</v>
      </c>
      <c r="B43" s="25" cm="1">
        <f t="array" ref="B43">loi_canard()</f>
        <v>4</v>
      </c>
      <c r="C43" s="25"/>
    </row>
    <row r="44" spans="1:3" x14ac:dyDescent="0.3">
      <c r="A44">
        <v>40</v>
      </c>
      <c r="B44" s="25" cm="1">
        <f t="array" ref="B44">loi_canard()</f>
        <v>3</v>
      </c>
      <c r="C44" s="25"/>
    </row>
    <row r="45" spans="1:3" x14ac:dyDescent="0.3">
      <c r="A45">
        <v>41</v>
      </c>
      <c r="B45" s="25" cm="1">
        <f t="array" ref="B45">loi_canard()</f>
        <v>3</v>
      </c>
      <c r="C45" s="25"/>
    </row>
    <row r="46" spans="1:3" x14ac:dyDescent="0.3">
      <c r="A46">
        <v>42</v>
      </c>
      <c r="B46" s="25" cm="1">
        <f t="array" ref="B46">loi_canard()</f>
        <v>3</v>
      </c>
      <c r="C46" s="25"/>
    </row>
    <row r="47" spans="1:3" x14ac:dyDescent="0.3">
      <c r="A47">
        <v>43</v>
      </c>
      <c r="B47" s="25" cm="1">
        <f t="array" ref="B47">loi_canard()</f>
        <v>3</v>
      </c>
      <c r="C47" s="25"/>
    </row>
    <row r="48" spans="1:3" x14ac:dyDescent="0.3">
      <c r="A48">
        <v>44</v>
      </c>
      <c r="B48" s="25" cm="1">
        <f t="array" ref="B48">loi_canard()</f>
        <v>5</v>
      </c>
      <c r="C48" s="25"/>
    </row>
    <row r="49" spans="1:3" x14ac:dyDescent="0.3">
      <c r="A49">
        <v>45</v>
      </c>
      <c r="B49" s="25" cm="1">
        <f t="array" ref="B49">loi_canard()</f>
        <v>3</v>
      </c>
      <c r="C49" s="25"/>
    </row>
    <row r="50" spans="1:3" x14ac:dyDescent="0.3">
      <c r="A50">
        <v>46</v>
      </c>
      <c r="B50" s="25" cm="1">
        <f t="array" ref="B50">loi_canard()</f>
        <v>4</v>
      </c>
      <c r="C50" s="25"/>
    </row>
    <row r="51" spans="1:3" x14ac:dyDescent="0.3">
      <c r="A51">
        <v>47</v>
      </c>
      <c r="B51" s="25" cm="1">
        <f t="array" ref="B51">loi_canard()</f>
        <v>4</v>
      </c>
      <c r="C51" s="25"/>
    </row>
    <row r="52" spans="1:3" x14ac:dyDescent="0.3">
      <c r="A52">
        <v>48</v>
      </c>
      <c r="B52" s="25" cm="1">
        <f t="array" ref="B52">loi_canard()</f>
        <v>2</v>
      </c>
      <c r="C52" s="25"/>
    </row>
    <row r="53" spans="1:3" x14ac:dyDescent="0.3">
      <c r="A53">
        <v>49</v>
      </c>
      <c r="B53" s="25" cm="1">
        <f t="array" ref="B53">loi_canard()</f>
        <v>5</v>
      </c>
      <c r="C53" s="25"/>
    </row>
    <row r="54" spans="1:3" x14ac:dyDescent="0.3">
      <c r="A54">
        <v>50</v>
      </c>
      <c r="B54" s="25" cm="1">
        <f t="array" ref="B54">loi_canard()</f>
        <v>5</v>
      </c>
      <c r="C54" s="25"/>
    </row>
    <row r="55" spans="1:3" x14ac:dyDescent="0.3">
      <c r="A55">
        <v>51</v>
      </c>
      <c r="B55" s="25" cm="1">
        <f t="array" ref="B55">loi_canard()</f>
        <v>3</v>
      </c>
      <c r="C55" s="25"/>
    </row>
    <row r="56" spans="1:3" x14ac:dyDescent="0.3">
      <c r="A56">
        <v>52</v>
      </c>
      <c r="B56" s="25" cm="1">
        <f t="array" ref="B56">loi_canard()</f>
        <v>4</v>
      </c>
      <c r="C56" s="25"/>
    </row>
    <row r="57" spans="1:3" x14ac:dyDescent="0.3">
      <c r="A57">
        <v>53</v>
      </c>
      <c r="B57" s="25" cm="1">
        <f t="array" ref="B57">loi_canard()</f>
        <v>3</v>
      </c>
      <c r="C57" s="25"/>
    </row>
    <row r="58" spans="1:3" x14ac:dyDescent="0.3">
      <c r="A58">
        <v>54</v>
      </c>
      <c r="B58" s="25" cm="1">
        <f t="array" ref="B58">loi_canard()</f>
        <v>2</v>
      </c>
      <c r="C58" s="25"/>
    </row>
    <row r="59" spans="1:3" x14ac:dyDescent="0.3">
      <c r="A59">
        <v>55</v>
      </c>
      <c r="B59" s="25" cm="1">
        <f t="array" ref="B59">loi_canard()</f>
        <v>4</v>
      </c>
      <c r="C59" s="25"/>
    </row>
    <row r="60" spans="1:3" x14ac:dyDescent="0.3">
      <c r="A60">
        <v>56</v>
      </c>
      <c r="B60" s="25" cm="1">
        <f t="array" ref="B60">loi_canard()</f>
        <v>3</v>
      </c>
      <c r="C60" s="25"/>
    </row>
    <row r="61" spans="1:3" x14ac:dyDescent="0.3">
      <c r="A61">
        <v>57</v>
      </c>
      <c r="B61" s="25" cm="1">
        <f t="array" ref="B61">loi_canard()</f>
        <v>3</v>
      </c>
      <c r="C61" s="25"/>
    </row>
    <row r="62" spans="1:3" x14ac:dyDescent="0.3">
      <c r="A62">
        <v>58</v>
      </c>
      <c r="B62" s="25" cm="1">
        <f t="array" ref="B62">loi_canard()</f>
        <v>4</v>
      </c>
      <c r="C62" s="25"/>
    </row>
    <row r="63" spans="1:3" x14ac:dyDescent="0.3">
      <c r="A63">
        <v>59</v>
      </c>
      <c r="B63" s="25" cm="1">
        <f t="array" ref="B63">loi_canard()</f>
        <v>4</v>
      </c>
      <c r="C63" s="25"/>
    </row>
    <row r="64" spans="1:3" x14ac:dyDescent="0.3">
      <c r="A64">
        <v>60</v>
      </c>
      <c r="B64" s="25" cm="1">
        <f t="array" ref="B64">loi_canard()</f>
        <v>5</v>
      </c>
      <c r="C64" s="25"/>
    </row>
    <row r="65" spans="1:3" x14ac:dyDescent="0.3">
      <c r="A65">
        <v>61</v>
      </c>
      <c r="B65" s="25" cm="1">
        <f t="array" ref="B65">loi_canard()</f>
        <v>4</v>
      </c>
      <c r="C65" s="25"/>
    </row>
    <row r="66" spans="1:3" x14ac:dyDescent="0.3">
      <c r="A66">
        <v>62</v>
      </c>
      <c r="B66" s="25" cm="1">
        <f t="array" ref="B66">loi_canard()</f>
        <v>4</v>
      </c>
      <c r="C66" s="25"/>
    </row>
    <row r="67" spans="1:3" x14ac:dyDescent="0.3">
      <c r="A67">
        <v>63</v>
      </c>
      <c r="B67" s="25" cm="1">
        <f t="array" ref="B67">loi_canard()</f>
        <v>3</v>
      </c>
      <c r="C67" s="25"/>
    </row>
    <row r="68" spans="1:3" x14ac:dyDescent="0.3">
      <c r="A68">
        <v>64</v>
      </c>
      <c r="B68" s="25" cm="1">
        <f t="array" ref="B68">loi_canard()</f>
        <v>3</v>
      </c>
      <c r="C68" s="25"/>
    </row>
    <row r="69" spans="1:3" x14ac:dyDescent="0.3">
      <c r="A69">
        <v>65</v>
      </c>
      <c r="B69" s="25" cm="1">
        <f t="array" ref="B69">loi_canard()</f>
        <v>3</v>
      </c>
      <c r="C69" s="25"/>
    </row>
    <row r="70" spans="1:3" x14ac:dyDescent="0.3">
      <c r="A70">
        <v>66</v>
      </c>
      <c r="B70" s="25" cm="1">
        <f t="array" ref="B70">loi_canard()</f>
        <v>3</v>
      </c>
      <c r="C70" s="25"/>
    </row>
    <row r="71" spans="1:3" x14ac:dyDescent="0.3">
      <c r="A71">
        <v>67</v>
      </c>
      <c r="B71" s="25" cm="1">
        <f t="array" ref="B71">loi_canard()</f>
        <v>3</v>
      </c>
      <c r="C71" s="25"/>
    </row>
    <row r="72" spans="1:3" x14ac:dyDescent="0.3">
      <c r="A72">
        <v>68</v>
      </c>
      <c r="B72" s="25" cm="1">
        <f t="array" ref="B72">loi_canard()</f>
        <v>4</v>
      </c>
      <c r="C72" s="25"/>
    </row>
    <row r="73" spans="1:3" x14ac:dyDescent="0.3">
      <c r="A73">
        <v>69</v>
      </c>
      <c r="B73" s="25" cm="1">
        <f t="array" ref="B73">loi_canard()</f>
        <v>3</v>
      </c>
      <c r="C73" s="25"/>
    </row>
    <row r="74" spans="1:3" x14ac:dyDescent="0.3">
      <c r="A74">
        <v>70</v>
      </c>
      <c r="B74" s="25" cm="1">
        <f t="array" ref="B74">loi_canard()</f>
        <v>2</v>
      </c>
      <c r="C74" s="25"/>
    </row>
    <row r="75" spans="1:3" x14ac:dyDescent="0.3">
      <c r="A75">
        <v>71</v>
      </c>
      <c r="B75" s="25" cm="1">
        <f t="array" ref="B75">loi_canard()</f>
        <v>5</v>
      </c>
      <c r="C75" s="25"/>
    </row>
    <row r="76" spans="1:3" x14ac:dyDescent="0.3">
      <c r="A76">
        <v>72</v>
      </c>
      <c r="B76" s="25" cm="1">
        <f t="array" ref="B76">loi_canard()</f>
        <v>5</v>
      </c>
      <c r="C76" s="25"/>
    </row>
    <row r="77" spans="1:3" x14ac:dyDescent="0.3">
      <c r="A77">
        <v>73</v>
      </c>
      <c r="B77" s="25" cm="1">
        <f t="array" ref="B77">loi_canard()</f>
        <v>3</v>
      </c>
      <c r="C77" s="25"/>
    </row>
    <row r="78" spans="1:3" x14ac:dyDescent="0.3">
      <c r="A78">
        <v>74</v>
      </c>
      <c r="B78" s="25" cm="1">
        <f t="array" ref="B78">loi_canard()</f>
        <v>3</v>
      </c>
      <c r="C78" s="25"/>
    </row>
    <row r="79" spans="1:3" x14ac:dyDescent="0.3">
      <c r="A79">
        <v>75</v>
      </c>
      <c r="B79" s="25" cm="1">
        <f t="array" ref="B79">loi_canard()</f>
        <v>3</v>
      </c>
      <c r="C79" s="25"/>
    </row>
    <row r="80" spans="1:3" x14ac:dyDescent="0.3">
      <c r="A80">
        <v>76</v>
      </c>
      <c r="B80" s="25" cm="1">
        <f t="array" ref="B80">loi_canard()</f>
        <v>3</v>
      </c>
      <c r="C80" s="25"/>
    </row>
    <row r="81" spans="1:3" x14ac:dyDescent="0.3">
      <c r="A81">
        <v>77</v>
      </c>
      <c r="B81" s="25" cm="1">
        <f t="array" ref="B81">loi_canard()</f>
        <v>3</v>
      </c>
      <c r="C81" s="25"/>
    </row>
    <row r="82" spans="1:3" x14ac:dyDescent="0.3">
      <c r="A82">
        <v>78</v>
      </c>
      <c r="B82" s="25" cm="1">
        <f t="array" ref="B82">loi_canard()</f>
        <v>6</v>
      </c>
      <c r="C82" s="25"/>
    </row>
    <row r="83" spans="1:3" x14ac:dyDescent="0.3">
      <c r="A83">
        <v>79</v>
      </c>
      <c r="B83" s="25" cm="1">
        <f t="array" ref="B83">loi_canard()</f>
        <v>3</v>
      </c>
      <c r="C83" s="25"/>
    </row>
    <row r="84" spans="1:3" x14ac:dyDescent="0.3">
      <c r="A84">
        <v>80</v>
      </c>
      <c r="B84" s="25" cm="1">
        <f t="array" ref="B84">loi_canard()</f>
        <v>6</v>
      </c>
      <c r="C84" s="25"/>
    </row>
    <row r="85" spans="1:3" x14ac:dyDescent="0.3">
      <c r="A85">
        <v>81</v>
      </c>
      <c r="B85" s="25" cm="1">
        <f t="array" ref="B85">loi_canard()</f>
        <v>3</v>
      </c>
      <c r="C85" s="25"/>
    </row>
    <row r="86" spans="1:3" x14ac:dyDescent="0.3">
      <c r="A86">
        <v>82</v>
      </c>
      <c r="B86" s="25" cm="1">
        <f t="array" ref="B86">loi_canard()</f>
        <v>3</v>
      </c>
      <c r="C86" s="25"/>
    </row>
    <row r="87" spans="1:3" x14ac:dyDescent="0.3">
      <c r="A87">
        <v>83</v>
      </c>
      <c r="B87" s="25" cm="1">
        <f t="array" ref="B87">loi_canard()</f>
        <v>5</v>
      </c>
      <c r="C87" s="25"/>
    </row>
    <row r="88" spans="1:3" x14ac:dyDescent="0.3">
      <c r="A88">
        <v>84</v>
      </c>
      <c r="B88" s="25" cm="1">
        <f t="array" ref="B88">loi_canard()</f>
        <v>5</v>
      </c>
      <c r="C88" s="25"/>
    </row>
    <row r="89" spans="1:3" x14ac:dyDescent="0.3">
      <c r="A89">
        <v>85</v>
      </c>
      <c r="B89" s="25" cm="1">
        <f t="array" ref="B89">loi_canard()</f>
        <v>5</v>
      </c>
      <c r="C89" s="25"/>
    </row>
    <row r="90" spans="1:3" x14ac:dyDescent="0.3">
      <c r="A90">
        <v>86</v>
      </c>
      <c r="B90" s="25" cm="1">
        <f t="array" ref="B90">loi_canard()</f>
        <v>4</v>
      </c>
      <c r="C90" s="25"/>
    </row>
    <row r="91" spans="1:3" x14ac:dyDescent="0.3">
      <c r="A91">
        <v>87</v>
      </c>
      <c r="B91" s="25" cm="1">
        <f t="array" ref="B91">loi_canard()</f>
        <v>2</v>
      </c>
      <c r="C91" s="25"/>
    </row>
    <row r="92" spans="1:3" x14ac:dyDescent="0.3">
      <c r="A92">
        <v>88</v>
      </c>
      <c r="B92" s="25" cm="1">
        <f t="array" ref="B92">loi_canard()</f>
        <v>4</v>
      </c>
      <c r="C92" s="25"/>
    </row>
    <row r="93" spans="1:3" x14ac:dyDescent="0.3">
      <c r="A93">
        <v>89</v>
      </c>
      <c r="B93" s="25" cm="1">
        <f t="array" ref="B93">loi_canard()</f>
        <v>5</v>
      </c>
      <c r="C93" s="25"/>
    </row>
    <row r="94" spans="1:3" x14ac:dyDescent="0.3">
      <c r="A94">
        <v>90</v>
      </c>
      <c r="B94" s="25" cm="1">
        <f t="array" ref="B94">loi_canard()</f>
        <v>4</v>
      </c>
      <c r="C94" s="25"/>
    </row>
    <row r="95" spans="1:3" x14ac:dyDescent="0.3">
      <c r="A95">
        <v>91</v>
      </c>
      <c r="B95" s="25" cm="1">
        <f t="array" ref="B95">loi_canard()</f>
        <v>4</v>
      </c>
      <c r="C95" s="25"/>
    </row>
    <row r="96" spans="1:3" x14ac:dyDescent="0.3">
      <c r="A96">
        <v>92</v>
      </c>
      <c r="B96" s="25" cm="1">
        <f t="array" ref="B96">loi_canard()</f>
        <v>3</v>
      </c>
      <c r="C96" s="25"/>
    </row>
    <row r="97" spans="1:3" x14ac:dyDescent="0.3">
      <c r="A97">
        <v>93</v>
      </c>
      <c r="B97" s="25" cm="1">
        <f t="array" ref="B97">loi_canard()</f>
        <v>4</v>
      </c>
      <c r="C97" s="25"/>
    </row>
    <row r="98" spans="1:3" x14ac:dyDescent="0.3">
      <c r="A98">
        <v>94</v>
      </c>
      <c r="B98" s="25" cm="1">
        <f t="array" ref="B98">loi_canard()</f>
        <v>5</v>
      </c>
      <c r="C98" s="25"/>
    </row>
    <row r="99" spans="1:3" x14ac:dyDescent="0.3">
      <c r="A99">
        <v>95</v>
      </c>
      <c r="B99" s="25" cm="1">
        <f t="array" ref="B99">loi_canard()</f>
        <v>3</v>
      </c>
      <c r="C99" s="25"/>
    </row>
    <row r="100" spans="1:3" x14ac:dyDescent="0.3">
      <c r="A100">
        <v>96</v>
      </c>
      <c r="B100" s="25" cm="1">
        <f t="array" ref="B100">loi_canard()</f>
        <v>4</v>
      </c>
      <c r="C100" s="25"/>
    </row>
    <row r="101" spans="1:3" x14ac:dyDescent="0.3">
      <c r="A101">
        <v>97</v>
      </c>
      <c r="B101" s="25" cm="1">
        <f t="array" ref="B101">loi_canard()</f>
        <v>2</v>
      </c>
      <c r="C101" s="25"/>
    </row>
    <row r="102" spans="1:3" x14ac:dyDescent="0.3">
      <c r="A102">
        <v>98</v>
      </c>
      <c r="B102" s="25" cm="1">
        <f t="array" ref="B102">loi_canard()</f>
        <v>2</v>
      </c>
      <c r="C102" s="25"/>
    </row>
    <row r="103" spans="1:3" x14ac:dyDescent="0.3">
      <c r="A103">
        <v>99</v>
      </c>
      <c r="B103" s="25" cm="1">
        <f t="array" ref="B103">loi_canard()</f>
        <v>5</v>
      </c>
      <c r="C103" s="25"/>
    </row>
    <row r="104" spans="1:3" x14ac:dyDescent="0.3">
      <c r="A104">
        <v>100</v>
      </c>
      <c r="B104" s="25" cm="1">
        <f t="array" ref="B104">loi_canard()</f>
        <v>4</v>
      </c>
      <c r="C104" s="25"/>
    </row>
    <row r="105" spans="1:3" x14ac:dyDescent="0.3">
      <c r="A105">
        <v>101</v>
      </c>
      <c r="B105" s="25" cm="1">
        <f t="array" ref="B105">loi_canard()</f>
        <v>3</v>
      </c>
      <c r="C105" s="25"/>
    </row>
    <row r="106" spans="1:3" x14ac:dyDescent="0.3">
      <c r="A106">
        <v>102</v>
      </c>
      <c r="B106" s="25" cm="1">
        <f t="array" ref="B106">loi_canard()</f>
        <v>5</v>
      </c>
      <c r="C106" s="25"/>
    </row>
    <row r="107" spans="1:3" x14ac:dyDescent="0.3">
      <c r="A107">
        <v>103</v>
      </c>
      <c r="B107" s="25" cm="1">
        <f t="array" ref="B107">loi_canard()</f>
        <v>4</v>
      </c>
      <c r="C107" s="25"/>
    </row>
    <row r="108" spans="1:3" x14ac:dyDescent="0.3">
      <c r="A108">
        <v>104</v>
      </c>
      <c r="B108" s="25" cm="1">
        <f t="array" ref="B108">loi_canard()</f>
        <v>4</v>
      </c>
      <c r="C108" s="25"/>
    </row>
    <row r="109" spans="1:3" x14ac:dyDescent="0.3">
      <c r="A109">
        <v>105</v>
      </c>
      <c r="B109" s="25" cm="1">
        <f t="array" ref="B109">loi_canard()</f>
        <v>4</v>
      </c>
      <c r="C109" s="25"/>
    </row>
    <row r="110" spans="1:3" x14ac:dyDescent="0.3">
      <c r="A110">
        <v>106</v>
      </c>
      <c r="B110" s="25" cm="1">
        <f t="array" ref="B110">loi_canard()</f>
        <v>3</v>
      </c>
      <c r="C110" s="25"/>
    </row>
    <row r="111" spans="1:3" x14ac:dyDescent="0.3">
      <c r="A111">
        <v>107</v>
      </c>
      <c r="B111" s="25" cm="1">
        <f t="array" ref="B111">loi_canard()</f>
        <v>3</v>
      </c>
      <c r="C111" s="25"/>
    </row>
    <row r="112" spans="1:3" x14ac:dyDescent="0.3">
      <c r="A112">
        <v>108</v>
      </c>
      <c r="B112" s="25" cm="1">
        <f t="array" ref="B112">loi_canard()</f>
        <v>3</v>
      </c>
      <c r="C112" s="25"/>
    </row>
    <row r="113" spans="1:3" x14ac:dyDescent="0.3">
      <c r="A113">
        <v>109</v>
      </c>
      <c r="B113" s="25" cm="1">
        <f t="array" ref="B113">loi_canard()</f>
        <v>3</v>
      </c>
      <c r="C113" s="25"/>
    </row>
    <row r="114" spans="1:3" x14ac:dyDescent="0.3">
      <c r="A114">
        <v>110</v>
      </c>
      <c r="B114" s="25" cm="1">
        <f t="array" ref="B114">loi_canard()</f>
        <v>5</v>
      </c>
      <c r="C114" s="25"/>
    </row>
    <row r="115" spans="1:3" x14ac:dyDescent="0.3">
      <c r="A115">
        <v>111</v>
      </c>
      <c r="B115" s="25" cm="1">
        <f t="array" ref="B115">loi_canard()</f>
        <v>3</v>
      </c>
      <c r="C115" s="25"/>
    </row>
    <row r="116" spans="1:3" x14ac:dyDescent="0.3">
      <c r="A116">
        <v>112</v>
      </c>
      <c r="B116" s="25" cm="1">
        <f t="array" ref="B116">loi_canard()</f>
        <v>3</v>
      </c>
      <c r="C116" s="25"/>
    </row>
    <row r="117" spans="1:3" x14ac:dyDescent="0.3">
      <c r="A117">
        <v>113</v>
      </c>
      <c r="B117" s="25" cm="1">
        <f t="array" ref="B117">loi_canard()</f>
        <v>4</v>
      </c>
      <c r="C117" s="25"/>
    </row>
    <row r="118" spans="1:3" x14ac:dyDescent="0.3">
      <c r="A118">
        <v>114</v>
      </c>
      <c r="B118" s="25" cm="1">
        <f t="array" ref="B118">loi_canard()</f>
        <v>4</v>
      </c>
      <c r="C118" s="25"/>
    </row>
    <row r="119" spans="1:3" x14ac:dyDescent="0.3">
      <c r="A119">
        <v>115</v>
      </c>
      <c r="B119" s="25" cm="1">
        <f t="array" ref="B119">loi_canard()</f>
        <v>4</v>
      </c>
      <c r="C119" s="25"/>
    </row>
    <row r="120" spans="1:3" x14ac:dyDescent="0.3">
      <c r="A120">
        <v>116</v>
      </c>
      <c r="B120" s="25" cm="1">
        <f t="array" ref="B120">loi_canard()</f>
        <v>3</v>
      </c>
      <c r="C120" s="25"/>
    </row>
    <row r="121" spans="1:3" x14ac:dyDescent="0.3">
      <c r="A121">
        <v>117</v>
      </c>
      <c r="B121" s="25" cm="1">
        <f t="array" ref="B121">loi_canard()</f>
        <v>4</v>
      </c>
      <c r="C121" s="25"/>
    </row>
    <row r="122" spans="1:3" x14ac:dyDescent="0.3">
      <c r="A122">
        <v>118</v>
      </c>
      <c r="B122" s="25" cm="1">
        <f t="array" ref="B122">loi_canard()</f>
        <v>2</v>
      </c>
      <c r="C122" s="25"/>
    </row>
    <row r="123" spans="1:3" x14ac:dyDescent="0.3">
      <c r="A123">
        <v>119</v>
      </c>
      <c r="B123" s="25" cm="1">
        <f t="array" ref="B123">loi_canard()</f>
        <v>3</v>
      </c>
      <c r="C123" s="25"/>
    </row>
    <row r="124" spans="1:3" x14ac:dyDescent="0.3">
      <c r="A124">
        <v>120</v>
      </c>
      <c r="B124" s="25" cm="1">
        <f t="array" ref="B124">loi_canard()</f>
        <v>4</v>
      </c>
      <c r="C124" s="25"/>
    </row>
    <row r="125" spans="1:3" x14ac:dyDescent="0.3">
      <c r="A125">
        <v>121</v>
      </c>
      <c r="B125" s="25" cm="1">
        <f t="array" ref="B125">loi_canard()</f>
        <v>4</v>
      </c>
      <c r="C125" s="25"/>
    </row>
    <row r="126" spans="1:3" x14ac:dyDescent="0.3">
      <c r="A126">
        <v>122</v>
      </c>
      <c r="B126" s="25" cm="1">
        <f t="array" ref="B126">loi_canard()</f>
        <v>4</v>
      </c>
      <c r="C126" s="25"/>
    </row>
    <row r="127" spans="1:3" x14ac:dyDescent="0.3">
      <c r="A127">
        <v>123</v>
      </c>
      <c r="B127" s="25" cm="1">
        <f t="array" ref="B127">loi_canard()</f>
        <v>3</v>
      </c>
      <c r="C127" s="25"/>
    </row>
    <row r="128" spans="1:3" x14ac:dyDescent="0.3">
      <c r="A128">
        <v>124</v>
      </c>
      <c r="B128" s="25" cm="1">
        <f t="array" ref="B128">loi_canard()</f>
        <v>5</v>
      </c>
      <c r="C128" s="25"/>
    </row>
    <row r="129" spans="1:3" x14ac:dyDescent="0.3">
      <c r="A129">
        <v>125</v>
      </c>
      <c r="B129" s="25" cm="1">
        <f t="array" ref="B129">loi_canard()</f>
        <v>4</v>
      </c>
      <c r="C129" s="25"/>
    </row>
    <row r="130" spans="1:3" x14ac:dyDescent="0.3">
      <c r="A130">
        <v>126</v>
      </c>
      <c r="B130" s="25" cm="1">
        <f t="array" ref="B130">loi_canard()</f>
        <v>4</v>
      </c>
      <c r="C130" s="25"/>
    </row>
    <row r="131" spans="1:3" x14ac:dyDescent="0.3">
      <c r="A131">
        <v>127</v>
      </c>
      <c r="B131" s="25" cm="1">
        <f t="array" ref="B131">loi_canard()</f>
        <v>4</v>
      </c>
      <c r="C131" s="25"/>
    </row>
    <row r="132" spans="1:3" x14ac:dyDescent="0.3">
      <c r="A132">
        <v>128</v>
      </c>
      <c r="B132" s="25" cm="1">
        <f t="array" ref="B132">loi_canard()</f>
        <v>3</v>
      </c>
      <c r="C132" s="25"/>
    </row>
    <row r="133" spans="1:3" x14ac:dyDescent="0.3">
      <c r="A133">
        <v>129</v>
      </c>
      <c r="B133" s="25" cm="1">
        <f t="array" ref="B133">loi_canard()</f>
        <v>5</v>
      </c>
      <c r="C133" s="25"/>
    </row>
    <row r="134" spans="1:3" x14ac:dyDescent="0.3">
      <c r="A134">
        <v>130</v>
      </c>
      <c r="B134" s="25" cm="1">
        <f t="array" ref="B134">loi_canard()</f>
        <v>4</v>
      </c>
      <c r="C134" s="25"/>
    </row>
    <row r="135" spans="1:3" x14ac:dyDescent="0.3">
      <c r="A135">
        <v>131</v>
      </c>
      <c r="B135" s="25" cm="1">
        <f t="array" ref="B135">loi_canard()</f>
        <v>5</v>
      </c>
      <c r="C135" s="25"/>
    </row>
    <row r="136" spans="1:3" x14ac:dyDescent="0.3">
      <c r="A136">
        <v>132</v>
      </c>
      <c r="B136" s="25" cm="1">
        <f t="array" ref="B136">loi_canard()</f>
        <v>3</v>
      </c>
      <c r="C136" s="25"/>
    </row>
    <row r="137" spans="1:3" x14ac:dyDescent="0.3">
      <c r="A137">
        <v>133</v>
      </c>
      <c r="B137" s="25" cm="1">
        <f t="array" ref="B137">loi_canard()</f>
        <v>5</v>
      </c>
      <c r="C137" s="25"/>
    </row>
    <row r="138" spans="1:3" x14ac:dyDescent="0.3">
      <c r="A138">
        <v>134</v>
      </c>
      <c r="B138" s="25" cm="1">
        <f t="array" ref="B138">loi_canard()</f>
        <v>4</v>
      </c>
      <c r="C138" s="25"/>
    </row>
    <row r="139" spans="1:3" x14ac:dyDescent="0.3">
      <c r="A139">
        <v>135</v>
      </c>
      <c r="B139" s="25" cm="1">
        <f t="array" ref="B139">loi_canard()</f>
        <v>6</v>
      </c>
      <c r="C139" s="25"/>
    </row>
    <row r="140" spans="1:3" x14ac:dyDescent="0.3">
      <c r="A140">
        <v>136</v>
      </c>
      <c r="B140" s="25" cm="1">
        <f t="array" ref="B140">loi_canard()</f>
        <v>4</v>
      </c>
      <c r="C140" s="25"/>
    </row>
    <row r="141" spans="1:3" x14ac:dyDescent="0.3">
      <c r="A141">
        <v>137</v>
      </c>
      <c r="B141" s="25" cm="1">
        <f t="array" ref="B141">loi_canard()</f>
        <v>2</v>
      </c>
      <c r="C141" s="25"/>
    </row>
    <row r="142" spans="1:3" x14ac:dyDescent="0.3">
      <c r="A142">
        <v>138</v>
      </c>
      <c r="B142" s="25" cm="1">
        <f t="array" ref="B142">loi_canard()</f>
        <v>2</v>
      </c>
      <c r="C142" s="25"/>
    </row>
    <row r="143" spans="1:3" x14ac:dyDescent="0.3">
      <c r="A143">
        <v>139</v>
      </c>
      <c r="B143" s="25" cm="1">
        <f t="array" ref="B143">loi_canard()</f>
        <v>4</v>
      </c>
      <c r="C143" s="25"/>
    </row>
    <row r="144" spans="1:3" x14ac:dyDescent="0.3">
      <c r="A144">
        <v>140</v>
      </c>
      <c r="B144" s="25" cm="1">
        <f t="array" ref="B144">loi_canard()</f>
        <v>4</v>
      </c>
      <c r="C144" s="25"/>
    </row>
    <row r="145" spans="1:3" x14ac:dyDescent="0.3">
      <c r="A145">
        <v>141</v>
      </c>
      <c r="B145" s="25" cm="1">
        <f t="array" ref="B145">loi_canard()</f>
        <v>4</v>
      </c>
      <c r="C145" s="25"/>
    </row>
    <row r="146" spans="1:3" x14ac:dyDescent="0.3">
      <c r="A146">
        <v>142</v>
      </c>
      <c r="B146" s="25" cm="1">
        <f t="array" ref="B146">loi_canard()</f>
        <v>3</v>
      </c>
      <c r="C146" s="25"/>
    </row>
    <row r="147" spans="1:3" x14ac:dyDescent="0.3">
      <c r="A147">
        <v>143</v>
      </c>
      <c r="B147" s="25" cm="1">
        <f t="array" ref="B147">loi_canard()</f>
        <v>2</v>
      </c>
      <c r="C147" s="25"/>
    </row>
    <row r="148" spans="1:3" x14ac:dyDescent="0.3">
      <c r="A148">
        <v>144</v>
      </c>
      <c r="B148" s="25" cm="1">
        <f t="array" ref="B148">loi_canard()</f>
        <v>5</v>
      </c>
      <c r="C148" s="25"/>
    </row>
    <row r="149" spans="1:3" x14ac:dyDescent="0.3">
      <c r="A149">
        <v>145</v>
      </c>
      <c r="B149" s="25" cm="1">
        <f t="array" ref="B149">loi_canard()</f>
        <v>4</v>
      </c>
      <c r="C149" s="25"/>
    </row>
    <row r="150" spans="1:3" x14ac:dyDescent="0.3">
      <c r="A150">
        <v>146</v>
      </c>
      <c r="B150" s="25" cm="1">
        <f t="array" ref="B150">loi_canard()</f>
        <v>3</v>
      </c>
      <c r="C150" s="25"/>
    </row>
    <row r="151" spans="1:3" x14ac:dyDescent="0.3">
      <c r="A151">
        <v>147</v>
      </c>
      <c r="B151" s="25" cm="1">
        <f t="array" ref="B151">loi_canard()</f>
        <v>4</v>
      </c>
      <c r="C151" s="25"/>
    </row>
    <row r="152" spans="1:3" x14ac:dyDescent="0.3">
      <c r="A152">
        <v>148</v>
      </c>
      <c r="B152" s="25" cm="1">
        <f t="array" ref="B152">loi_canard()</f>
        <v>2</v>
      </c>
      <c r="C152" s="25"/>
    </row>
    <row r="153" spans="1:3" x14ac:dyDescent="0.3">
      <c r="A153">
        <v>149</v>
      </c>
      <c r="B153" s="25" cm="1">
        <f t="array" ref="B153">loi_canard()</f>
        <v>3</v>
      </c>
      <c r="C153" s="25"/>
    </row>
    <row r="154" spans="1:3" x14ac:dyDescent="0.3">
      <c r="A154">
        <v>150</v>
      </c>
      <c r="B154" s="25" cm="1">
        <f t="array" ref="B154">loi_canard()</f>
        <v>5</v>
      </c>
      <c r="C154" s="25"/>
    </row>
    <row r="155" spans="1:3" x14ac:dyDescent="0.3">
      <c r="A155">
        <v>151</v>
      </c>
      <c r="B155" s="25" cm="1">
        <f t="array" ref="B155">loi_canard()</f>
        <v>4</v>
      </c>
      <c r="C155" s="25"/>
    </row>
    <row r="156" spans="1:3" x14ac:dyDescent="0.3">
      <c r="A156">
        <v>152</v>
      </c>
      <c r="B156" s="25" cm="1">
        <f t="array" ref="B156">loi_canard()</f>
        <v>4</v>
      </c>
      <c r="C156" s="25"/>
    </row>
    <row r="157" spans="1:3" x14ac:dyDescent="0.3">
      <c r="A157">
        <v>153</v>
      </c>
      <c r="B157" s="25" cm="1">
        <f t="array" ref="B157">loi_canard()</f>
        <v>5</v>
      </c>
      <c r="C157" s="25"/>
    </row>
    <row r="158" spans="1:3" x14ac:dyDescent="0.3">
      <c r="A158">
        <v>154</v>
      </c>
      <c r="B158" s="25" cm="1">
        <f t="array" ref="B158">loi_canard()</f>
        <v>4</v>
      </c>
      <c r="C158" s="25"/>
    </row>
    <row r="159" spans="1:3" x14ac:dyDescent="0.3">
      <c r="A159">
        <v>155</v>
      </c>
      <c r="B159" s="25" cm="1">
        <f t="array" ref="B159">loi_canard()</f>
        <v>4</v>
      </c>
      <c r="C159" s="25"/>
    </row>
    <row r="160" spans="1:3" x14ac:dyDescent="0.3">
      <c r="A160">
        <v>156</v>
      </c>
      <c r="B160" s="25" cm="1">
        <f t="array" ref="B160">loi_canard()</f>
        <v>4</v>
      </c>
      <c r="C160" s="25"/>
    </row>
    <row r="161" spans="1:3" x14ac:dyDescent="0.3">
      <c r="A161">
        <v>157</v>
      </c>
      <c r="B161" s="25" cm="1">
        <f t="array" ref="B161">loi_canard()</f>
        <v>3</v>
      </c>
      <c r="C161" s="25"/>
    </row>
    <row r="162" spans="1:3" x14ac:dyDescent="0.3">
      <c r="A162">
        <v>158</v>
      </c>
      <c r="B162" s="25" cm="1">
        <f t="array" ref="B162">loi_canard()</f>
        <v>2</v>
      </c>
      <c r="C162" s="25"/>
    </row>
    <row r="163" spans="1:3" x14ac:dyDescent="0.3">
      <c r="A163">
        <v>159</v>
      </c>
      <c r="B163" s="25" cm="1">
        <f t="array" ref="B163">loi_canard()</f>
        <v>3</v>
      </c>
      <c r="C163" s="25"/>
    </row>
    <row r="164" spans="1:3" x14ac:dyDescent="0.3">
      <c r="A164">
        <v>160</v>
      </c>
      <c r="B164" s="25" cm="1">
        <f t="array" ref="B164">loi_canard()</f>
        <v>3</v>
      </c>
      <c r="C164" s="25"/>
    </row>
    <row r="165" spans="1:3" x14ac:dyDescent="0.3">
      <c r="A165">
        <v>161</v>
      </c>
      <c r="B165" s="25" cm="1">
        <f t="array" ref="B165">loi_canard()</f>
        <v>4</v>
      </c>
      <c r="C165" s="25"/>
    </row>
    <row r="166" spans="1:3" x14ac:dyDescent="0.3">
      <c r="A166">
        <v>162</v>
      </c>
      <c r="B166" s="25" cm="1">
        <f t="array" ref="B166">loi_canard()</f>
        <v>4</v>
      </c>
      <c r="C166" s="25"/>
    </row>
    <row r="167" spans="1:3" x14ac:dyDescent="0.3">
      <c r="A167">
        <v>163</v>
      </c>
      <c r="B167" s="25" cm="1">
        <f t="array" ref="B167">loi_canard()</f>
        <v>2</v>
      </c>
      <c r="C167" s="25"/>
    </row>
    <row r="168" spans="1:3" x14ac:dyDescent="0.3">
      <c r="A168">
        <v>164</v>
      </c>
      <c r="B168" s="25" cm="1">
        <f t="array" ref="B168">loi_canard()</f>
        <v>4</v>
      </c>
      <c r="C168" s="25"/>
    </row>
    <row r="169" spans="1:3" x14ac:dyDescent="0.3">
      <c r="A169">
        <v>165</v>
      </c>
      <c r="B169" s="25" cm="1">
        <f t="array" ref="B169">loi_canard()</f>
        <v>2</v>
      </c>
      <c r="C169" s="25"/>
    </row>
    <row r="170" spans="1:3" x14ac:dyDescent="0.3">
      <c r="A170">
        <v>166</v>
      </c>
      <c r="B170" s="25" cm="1">
        <f t="array" ref="B170">loi_canard()</f>
        <v>4</v>
      </c>
      <c r="C170" s="25"/>
    </row>
    <row r="171" spans="1:3" x14ac:dyDescent="0.3">
      <c r="A171">
        <v>167</v>
      </c>
      <c r="B171" s="25" cm="1">
        <f t="array" ref="B171">loi_canard()</f>
        <v>4</v>
      </c>
      <c r="C171" s="25"/>
    </row>
    <row r="172" spans="1:3" x14ac:dyDescent="0.3">
      <c r="A172">
        <v>168</v>
      </c>
      <c r="B172" s="25" cm="1">
        <f t="array" ref="B172">loi_canard()</f>
        <v>3</v>
      </c>
      <c r="C172" s="25"/>
    </row>
    <row r="173" spans="1:3" x14ac:dyDescent="0.3">
      <c r="A173">
        <v>169</v>
      </c>
      <c r="B173" s="25" cm="1">
        <f t="array" ref="B173">loi_canard()</f>
        <v>3</v>
      </c>
      <c r="C173" s="25"/>
    </row>
    <row r="174" spans="1:3" x14ac:dyDescent="0.3">
      <c r="A174">
        <v>170</v>
      </c>
      <c r="B174" s="25" cm="1">
        <f t="array" ref="B174">loi_canard()</f>
        <v>4</v>
      </c>
      <c r="C174" s="25"/>
    </row>
    <row r="175" spans="1:3" x14ac:dyDescent="0.3">
      <c r="A175">
        <v>171</v>
      </c>
      <c r="B175" s="25" cm="1">
        <f t="array" ref="B175">loi_canard()</f>
        <v>3</v>
      </c>
      <c r="C175" s="25"/>
    </row>
    <row r="176" spans="1:3" x14ac:dyDescent="0.3">
      <c r="A176">
        <v>172</v>
      </c>
      <c r="B176" s="25" cm="1">
        <f t="array" ref="B176">loi_canard()</f>
        <v>5</v>
      </c>
      <c r="C176" s="25"/>
    </row>
    <row r="177" spans="1:3" x14ac:dyDescent="0.3">
      <c r="A177">
        <v>173</v>
      </c>
      <c r="B177" s="25" cm="1">
        <f t="array" ref="B177">loi_canard()</f>
        <v>3</v>
      </c>
      <c r="C177" s="25"/>
    </row>
    <row r="178" spans="1:3" x14ac:dyDescent="0.3">
      <c r="A178">
        <v>174</v>
      </c>
      <c r="B178" s="25" cm="1">
        <f t="array" ref="B178">loi_canard()</f>
        <v>3</v>
      </c>
      <c r="C178" s="25"/>
    </row>
    <row r="179" spans="1:3" x14ac:dyDescent="0.3">
      <c r="A179">
        <v>175</v>
      </c>
      <c r="B179" s="25" cm="1">
        <f t="array" ref="B179">loi_canard()</f>
        <v>4</v>
      </c>
      <c r="C179" s="25"/>
    </row>
    <row r="180" spans="1:3" x14ac:dyDescent="0.3">
      <c r="A180">
        <v>176</v>
      </c>
      <c r="B180" s="25" cm="1">
        <f t="array" ref="B180">loi_canard()</f>
        <v>4</v>
      </c>
      <c r="C180" s="25"/>
    </row>
    <row r="181" spans="1:3" x14ac:dyDescent="0.3">
      <c r="A181">
        <v>177</v>
      </c>
      <c r="B181" s="25" cm="1">
        <f t="array" ref="B181">loi_canard()</f>
        <v>4</v>
      </c>
      <c r="C181" s="25"/>
    </row>
    <row r="182" spans="1:3" x14ac:dyDescent="0.3">
      <c r="A182">
        <v>178</v>
      </c>
      <c r="B182" s="25" cm="1">
        <f t="array" ref="B182">loi_canard()</f>
        <v>3</v>
      </c>
      <c r="C182" s="25"/>
    </row>
    <row r="183" spans="1:3" x14ac:dyDescent="0.3">
      <c r="A183">
        <v>179</v>
      </c>
      <c r="B183" s="25" cm="1">
        <f t="array" ref="B183">loi_canard()</f>
        <v>4</v>
      </c>
      <c r="C183" s="25"/>
    </row>
    <row r="184" spans="1:3" x14ac:dyDescent="0.3">
      <c r="A184">
        <v>180</v>
      </c>
      <c r="B184" s="25" cm="1">
        <f t="array" ref="B184">loi_canard()</f>
        <v>5</v>
      </c>
      <c r="C184" s="25"/>
    </row>
    <row r="185" spans="1:3" x14ac:dyDescent="0.3">
      <c r="A185">
        <v>181</v>
      </c>
      <c r="B185" s="25" cm="1">
        <f t="array" ref="B185">loi_canard()</f>
        <v>4</v>
      </c>
      <c r="C185" s="25"/>
    </row>
    <row r="186" spans="1:3" x14ac:dyDescent="0.3">
      <c r="A186">
        <v>182</v>
      </c>
      <c r="B186" s="25" cm="1">
        <f t="array" ref="B186">loi_canard()</f>
        <v>3</v>
      </c>
      <c r="C186" s="25"/>
    </row>
    <row r="187" spans="1:3" x14ac:dyDescent="0.3">
      <c r="A187">
        <v>183</v>
      </c>
      <c r="B187" s="25" cm="1">
        <f t="array" ref="B187">loi_canard()</f>
        <v>6</v>
      </c>
      <c r="C187" s="25"/>
    </row>
    <row r="188" spans="1:3" x14ac:dyDescent="0.3">
      <c r="A188">
        <v>184</v>
      </c>
      <c r="B188" s="25" cm="1">
        <f t="array" ref="B188">loi_canard()</f>
        <v>3</v>
      </c>
      <c r="C188" s="25"/>
    </row>
    <row r="189" spans="1:3" x14ac:dyDescent="0.3">
      <c r="A189">
        <v>185</v>
      </c>
      <c r="B189" s="25" cm="1">
        <f t="array" ref="B189">loi_canard()</f>
        <v>5</v>
      </c>
      <c r="C189" s="25"/>
    </row>
    <row r="190" spans="1:3" x14ac:dyDescent="0.3">
      <c r="A190">
        <v>186</v>
      </c>
      <c r="B190" s="25" cm="1">
        <f t="array" ref="B190">loi_canard()</f>
        <v>3</v>
      </c>
      <c r="C190" s="25"/>
    </row>
    <row r="191" spans="1:3" x14ac:dyDescent="0.3">
      <c r="A191">
        <v>187</v>
      </c>
      <c r="B191" s="25" cm="1">
        <f t="array" ref="B191">loi_canard()</f>
        <v>2</v>
      </c>
      <c r="C191" s="25"/>
    </row>
    <row r="192" spans="1:3" x14ac:dyDescent="0.3">
      <c r="A192">
        <v>188</v>
      </c>
      <c r="B192" s="25" cm="1">
        <f t="array" ref="B192">loi_canard()</f>
        <v>2</v>
      </c>
      <c r="C192" s="25"/>
    </row>
    <row r="193" spans="1:3" x14ac:dyDescent="0.3">
      <c r="A193">
        <v>189</v>
      </c>
      <c r="B193" s="25" cm="1">
        <f t="array" ref="B193">loi_canard()</f>
        <v>3</v>
      </c>
      <c r="C193" s="25"/>
    </row>
    <row r="194" spans="1:3" x14ac:dyDescent="0.3">
      <c r="A194">
        <v>190</v>
      </c>
      <c r="B194" s="25" cm="1">
        <f t="array" ref="B194">loi_canard()</f>
        <v>2</v>
      </c>
      <c r="C194" s="25"/>
    </row>
    <row r="195" spans="1:3" x14ac:dyDescent="0.3">
      <c r="A195">
        <v>191</v>
      </c>
      <c r="B195" s="25" cm="1">
        <f t="array" ref="B195">loi_canard()</f>
        <v>3</v>
      </c>
      <c r="C195" s="25"/>
    </row>
    <row r="196" spans="1:3" x14ac:dyDescent="0.3">
      <c r="A196">
        <v>192</v>
      </c>
      <c r="B196" s="25" cm="1">
        <f t="array" ref="B196">loi_canard()</f>
        <v>4</v>
      </c>
      <c r="C196" s="25"/>
    </row>
    <row r="197" spans="1:3" x14ac:dyDescent="0.3">
      <c r="A197">
        <v>193</v>
      </c>
      <c r="B197" s="25" cm="1">
        <f t="array" ref="B197">loi_canard()</f>
        <v>4</v>
      </c>
      <c r="C197" s="25"/>
    </row>
    <row r="198" spans="1:3" x14ac:dyDescent="0.3">
      <c r="A198">
        <v>194</v>
      </c>
      <c r="B198" s="25" cm="1">
        <f t="array" ref="B198">loi_canard()</f>
        <v>2</v>
      </c>
      <c r="C198" s="25"/>
    </row>
    <row r="199" spans="1:3" x14ac:dyDescent="0.3">
      <c r="A199">
        <v>195</v>
      </c>
      <c r="B199" s="25" cm="1">
        <f t="array" ref="B199">loi_canard()</f>
        <v>4</v>
      </c>
      <c r="C199" s="25"/>
    </row>
    <row r="200" spans="1:3" x14ac:dyDescent="0.3">
      <c r="A200">
        <v>196</v>
      </c>
      <c r="B200" s="25" cm="1">
        <f t="array" ref="B200">loi_canard()</f>
        <v>3</v>
      </c>
      <c r="C200" s="25"/>
    </row>
    <row r="201" spans="1:3" x14ac:dyDescent="0.3">
      <c r="A201">
        <v>197</v>
      </c>
      <c r="B201" s="25" cm="1">
        <f t="array" ref="B201">loi_canard()</f>
        <v>3</v>
      </c>
      <c r="C201" s="25"/>
    </row>
    <row r="202" spans="1:3" x14ac:dyDescent="0.3">
      <c r="A202">
        <v>198</v>
      </c>
      <c r="B202" s="25" cm="1">
        <f t="array" ref="B202">loi_canard()</f>
        <v>6</v>
      </c>
      <c r="C202" s="25"/>
    </row>
    <row r="203" spans="1:3" x14ac:dyDescent="0.3">
      <c r="A203">
        <v>199</v>
      </c>
      <c r="B203" s="25" cm="1">
        <f t="array" ref="B203">loi_canard()</f>
        <v>4</v>
      </c>
      <c r="C203" s="25"/>
    </row>
    <row r="204" spans="1:3" x14ac:dyDescent="0.3">
      <c r="A204">
        <v>200</v>
      </c>
      <c r="B204" s="25" cm="1">
        <f t="array" ref="B204">loi_canard()</f>
        <v>3</v>
      </c>
      <c r="C204" s="25"/>
    </row>
    <row r="205" spans="1:3" x14ac:dyDescent="0.3">
      <c r="A205">
        <v>201</v>
      </c>
      <c r="B205" s="25" cm="1">
        <f t="array" ref="B205">loi_canard()</f>
        <v>5</v>
      </c>
      <c r="C205" s="25"/>
    </row>
    <row r="206" spans="1:3" x14ac:dyDescent="0.3">
      <c r="A206">
        <v>202</v>
      </c>
      <c r="B206" s="25" cm="1">
        <f t="array" ref="B206">loi_canard()</f>
        <v>5</v>
      </c>
      <c r="C206" s="25"/>
    </row>
    <row r="207" spans="1:3" x14ac:dyDescent="0.3">
      <c r="A207">
        <v>203</v>
      </c>
      <c r="B207" s="25" cm="1">
        <f t="array" ref="B207">loi_canard()</f>
        <v>2</v>
      </c>
      <c r="C207" s="25"/>
    </row>
    <row r="208" spans="1:3" x14ac:dyDescent="0.3">
      <c r="A208">
        <v>204</v>
      </c>
      <c r="B208" s="25" cm="1">
        <f t="array" ref="B208">loi_canard()</f>
        <v>4</v>
      </c>
      <c r="C208" s="25"/>
    </row>
    <row r="209" spans="1:3" x14ac:dyDescent="0.3">
      <c r="A209">
        <v>205</v>
      </c>
      <c r="B209" s="25" cm="1">
        <f t="array" ref="B209">loi_canard()</f>
        <v>4</v>
      </c>
      <c r="C209" s="25"/>
    </row>
    <row r="210" spans="1:3" x14ac:dyDescent="0.3">
      <c r="A210">
        <v>206</v>
      </c>
      <c r="B210" s="25" cm="1">
        <f t="array" ref="B210">loi_canard()</f>
        <v>4</v>
      </c>
      <c r="C210" s="25"/>
    </row>
    <row r="211" spans="1:3" x14ac:dyDescent="0.3">
      <c r="A211">
        <v>207</v>
      </c>
      <c r="B211" s="25" cm="1">
        <f t="array" ref="B211">loi_canard()</f>
        <v>4</v>
      </c>
      <c r="C211" s="25"/>
    </row>
    <row r="212" spans="1:3" x14ac:dyDescent="0.3">
      <c r="A212">
        <v>208</v>
      </c>
      <c r="B212" s="25" cm="1">
        <f t="array" ref="B212">loi_canard()</f>
        <v>4</v>
      </c>
      <c r="C212" s="25"/>
    </row>
    <row r="213" spans="1:3" x14ac:dyDescent="0.3">
      <c r="A213">
        <v>209</v>
      </c>
      <c r="B213" s="25" cm="1">
        <f t="array" ref="B213">loi_canard()</f>
        <v>5</v>
      </c>
      <c r="C213" s="25"/>
    </row>
    <row r="214" spans="1:3" x14ac:dyDescent="0.3">
      <c r="A214">
        <v>210</v>
      </c>
      <c r="B214" s="25" cm="1">
        <f t="array" ref="B214">loi_canard()</f>
        <v>4</v>
      </c>
      <c r="C214" s="25"/>
    </row>
    <row r="215" spans="1:3" x14ac:dyDescent="0.3">
      <c r="A215">
        <v>211</v>
      </c>
      <c r="B215" s="25" cm="1">
        <f t="array" ref="B215">loi_canard()</f>
        <v>2</v>
      </c>
      <c r="C215" s="25"/>
    </row>
    <row r="216" spans="1:3" x14ac:dyDescent="0.3">
      <c r="A216">
        <v>212</v>
      </c>
      <c r="B216" s="25" cm="1">
        <f t="array" ref="B216">loi_canard()</f>
        <v>4</v>
      </c>
      <c r="C216" s="25"/>
    </row>
    <row r="217" spans="1:3" x14ac:dyDescent="0.3">
      <c r="A217">
        <v>213</v>
      </c>
      <c r="B217" s="25" cm="1">
        <f t="array" ref="B217">loi_canard()</f>
        <v>4</v>
      </c>
      <c r="C217" s="25"/>
    </row>
    <row r="218" spans="1:3" x14ac:dyDescent="0.3">
      <c r="A218">
        <v>214</v>
      </c>
      <c r="B218" s="25" cm="1">
        <f t="array" ref="B218">loi_canard()</f>
        <v>4</v>
      </c>
      <c r="C218" s="25"/>
    </row>
    <row r="219" spans="1:3" x14ac:dyDescent="0.3">
      <c r="A219">
        <v>215</v>
      </c>
      <c r="B219" s="25" cm="1">
        <f t="array" ref="B219">loi_canard()</f>
        <v>5</v>
      </c>
      <c r="C219" s="25"/>
    </row>
    <row r="220" spans="1:3" x14ac:dyDescent="0.3">
      <c r="A220">
        <v>216</v>
      </c>
      <c r="B220" s="25" cm="1">
        <f t="array" ref="B220">loi_canard()</f>
        <v>4</v>
      </c>
      <c r="C220" s="25"/>
    </row>
    <row r="221" spans="1:3" x14ac:dyDescent="0.3">
      <c r="A221">
        <v>217</v>
      </c>
      <c r="B221" s="25" cm="1">
        <f t="array" ref="B221">loi_canard()</f>
        <v>3</v>
      </c>
      <c r="C221" s="25"/>
    </row>
    <row r="222" spans="1:3" x14ac:dyDescent="0.3">
      <c r="A222">
        <v>218</v>
      </c>
      <c r="B222" s="25" cm="1">
        <f t="array" ref="B222">loi_canard()</f>
        <v>5</v>
      </c>
      <c r="C222" s="25"/>
    </row>
    <row r="223" spans="1:3" x14ac:dyDescent="0.3">
      <c r="A223">
        <v>219</v>
      </c>
      <c r="B223" s="25" cm="1">
        <f t="array" ref="B223">loi_canard()</f>
        <v>2</v>
      </c>
      <c r="C223" s="25"/>
    </row>
    <row r="224" spans="1:3" x14ac:dyDescent="0.3">
      <c r="A224">
        <v>220</v>
      </c>
      <c r="B224" s="25" cm="1">
        <f t="array" ref="B224">loi_canard()</f>
        <v>5</v>
      </c>
      <c r="C224" s="25"/>
    </row>
    <row r="225" spans="1:3" x14ac:dyDescent="0.3">
      <c r="A225">
        <v>221</v>
      </c>
      <c r="B225" s="25" cm="1">
        <f t="array" ref="B225">loi_canard()</f>
        <v>4</v>
      </c>
      <c r="C225" s="25"/>
    </row>
    <row r="226" spans="1:3" x14ac:dyDescent="0.3">
      <c r="A226">
        <v>222</v>
      </c>
      <c r="B226" s="25" cm="1">
        <f t="array" ref="B226">loi_canard()</f>
        <v>3</v>
      </c>
      <c r="C226" s="25"/>
    </row>
    <row r="227" spans="1:3" x14ac:dyDescent="0.3">
      <c r="A227">
        <v>223</v>
      </c>
      <c r="B227" s="25" cm="1">
        <f t="array" ref="B227">loi_canard()</f>
        <v>5</v>
      </c>
      <c r="C227" s="25"/>
    </row>
    <row r="228" spans="1:3" x14ac:dyDescent="0.3">
      <c r="A228">
        <v>224</v>
      </c>
      <c r="B228" s="25" cm="1">
        <f t="array" ref="B228">loi_canard()</f>
        <v>4</v>
      </c>
      <c r="C228" s="25"/>
    </row>
    <row r="229" spans="1:3" x14ac:dyDescent="0.3">
      <c r="A229">
        <v>225</v>
      </c>
      <c r="B229" s="25" cm="1">
        <f t="array" ref="B229">loi_canard()</f>
        <v>4</v>
      </c>
      <c r="C229" s="25"/>
    </row>
    <row r="230" spans="1:3" x14ac:dyDescent="0.3">
      <c r="A230">
        <v>226</v>
      </c>
      <c r="B230" s="25" cm="1">
        <f t="array" ref="B230">loi_canard()</f>
        <v>4</v>
      </c>
      <c r="C230" s="25"/>
    </row>
    <row r="231" spans="1:3" x14ac:dyDescent="0.3">
      <c r="A231">
        <v>227</v>
      </c>
      <c r="B231" s="25" cm="1">
        <f t="array" ref="B231">loi_canard()</f>
        <v>3</v>
      </c>
      <c r="C231" s="25"/>
    </row>
    <row r="232" spans="1:3" x14ac:dyDescent="0.3">
      <c r="A232">
        <v>228</v>
      </c>
      <c r="B232" s="25" cm="1">
        <f t="array" ref="B232">loi_canard()</f>
        <v>3</v>
      </c>
      <c r="C232" s="25"/>
    </row>
    <row r="233" spans="1:3" x14ac:dyDescent="0.3">
      <c r="A233">
        <v>229</v>
      </c>
      <c r="B233" s="25" cm="1">
        <f t="array" ref="B233">loi_canard()</f>
        <v>2</v>
      </c>
      <c r="C233" s="25"/>
    </row>
    <row r="234" spans="1:3" x14ac:dyDescent="0.3">
      <c r="A234">
        <v>230</v>
      </c>
      <c r="B234" s="25" cm="1">
        <f t="array" ref="B234">loi_canard()</f>
        <v>2</v>
      </c>
      <c r="C234" s="25"/>
    </row>
    <row r="235" spans="1:3" x14ac:dyDescent="0.3">
      <c r="A235">
        <v>231</v>
      </c>
      <c r="B235" s="25" cm="1">
        <f t="array" ref="B235">loi_canard()</f>
        <v>6</v>
      </c>
      <c r="C235" s="25"/>
    </row>
    <row r="236" spans="1:3" x14ac:dyDescent="0.3">
      <c r="A236">
        <v>232</v>
      </c>
      <c r="B236" s="25" cm="1">
        <f t="array" ref="B236">loi_canard()</f>
        <v>2</v>
      </c>
      <c r="C236" s="25"/>
    </row>
    <row r="237" spans="1:3" x14ac:dyDescent="0.3">
      <c r="A237">
        <v>233</v>
      </c>
      <c r="B237" s="25" cm="1">
        <f t="array" ref="B237">loi_canard()</f>
        <v>4</v>
      </c>
      <c r="C237" s="25"/>
    </row>
    <row r="238" spans="1:3" x14ac:dyDescent="0.3">
      <c r="A238">
        <v>234</v>
      </c>
      <c r="B238" s="25" cm="1">
        <f t="array" ref="B238">loi_canard()</f>
        <v>4</v>
      </c>
      <c r="C238" s="25"/>
    </row>
    <row r="239" spans="1:3" x14ac:dyDescent="0.3">
      <c r="A239">
        <v>235</v>
      </c>
      <c r="B239" s="25" cm="1">
        <f t="array" ref="B239">loi_canard()</f>
        <v>3</v>
      </c>
      <c r="C239" s="25"/>
    </row>
    <row r="240" spans="1:3" x14ac:dyDescent="0.3">
      <c r="A240">
        <v>236</v>
      </c>
      <c r="B240" s="25" cm="1">
        <f t="array" ref="B240">loi_canard()</f>
        <v>4</v>
      </c>
      <c r="C240" s="25"/>
    </row>
    <row r="241" spans="1:3" x14ac:dyDescent="0.3">
      <c r="A241">
        <v>237</v>
      </c>
      <c r="B241" s="25" cm="1">
        <f t="array" ref="B241">loi_canard()</f>
        <v>5</v>
      </c>
      <c r="C241" s="25"/>
    </row>
    <row r="242" spans="1:3" x14ac:dyDescent="0.3">
      <c r="A242">
        <v>238</v>
      </c>
      <c r="B242" s="25" cm="1">
        <f t="array" ref="B242">loi_canard()</f>
        <v>4</v>
      </c>
      <c r="C242" s="25"/>
    </row>
    <row r="243" spans="1:3" x14ac:dyDescent="0.3">
      <c r="A243">
        <v>239</v>
      </c>
      <c r="B243" s="25" cm="1">
        <f t="array" ref="B243">loi_canard()</f>
        <v>3</v>
      </c>
      <c r="C243" s="25"/>
    </row>
    <row r="244" spans="1:3" x14ac:dyDescent="0.3">
      <c r="A244">
        <v>240</v>
      </c>
      <c r="B244" s="25" cm="1">
        <f t="array" ref="B244">loi_canard()</f>
        <v>3</v>
      </c>
      <c r="C244" s="25"/>
    </row>
    <row r="245" spans="1:3" x14ac:dyDescent="0.3">
      <c r="A245">
        <v>241</v>
      </c>
      <c r="B245" s="25" cm="1">
        <f t="array" ref="B245">loi_canard()</f>
        <v>4</v>
      </c>
      <c r="C245" s="25"/>
    </row>
    <row r="246" spans="1:3" x14ac:dyDescent="0.3">
      <c r="A246">
        <v>242</v>
      </c>
      <c r="B246" s="25" cm="1">
        <f t="array" ref="B246">loi_canard()</f>
        <v>4</v>
      </c>
      <c r="C246" s="25"/>
    </row>
    <row r="247" spans="1:3" x14ac:dyDescent="0.3">
      <c r="A247">
        <v>243</v>
      </c>
      <c r="B247" s="25" cm="1">
        <f t="array" ref="B247">loi_canard()</f>
        <v>5</v>
      </c>
      <c r="C247" s="25"/>
    </row>
    <row r="248" spans="1:3" x14ac:dyDescent="0.3">
      <c r="A248">
        <v>244</v>
      </c>
      <c r="B248" s="25" cm="1">
        <f t="array" ref="B248">loi_canard()</f>
        <v>4</v>
      </c>
      <c r="C248" s="25"/>
    </row>
    <row r="249" spans="1:3" x14ac:dyDescent="0.3">
      <c r="A249">
        <v>245</v>
      </c>
      <c r="B249" s="25" cm="1">
        <f t="array" ref="B249">loi_canard()</f>
        <v>2</v>
      </c>
      <c r="C249" s="25"/>
    </row>
    <row r="250" spans="1:3" x14ac:dyDescent="0.3">
      <c r="A250">
        <v>246</v>
      </c>
      <c r="B250" s="25" cm="1">
        <f t="array" ref="B250">loi_canard()</f>
        <v>5</v>
      </c>
      <c r="C250" s="25"/>
    </row>
    <row r="251" spans="1:3" x14ac:dyDescent="0.3">
      <c r="A251">
        <v>247</v>
      </c>
      <c r="B251" s="25" cm="1">
        <f t="array" ref="B251">loi_canard()</f>
        <v>4</v>
      </c>
      <c r="C251" s="25"/>
    </row>
    <row r="252" spans="1:3" x14ac:dyDescent="0.3">
      <c r="A252">
        <v>248</v>
      </c>
      <c r="B252" s="25" cm="1">
        <f t="array" ref="B252">loi_canard()</f>
        <v>4</v>
      </c>
      <c r="C252" s="25"/>
    </row>
    <row r="253" spans="1:3" x14ac:dyDescent="0.3">
      <c r="A253">
        <v>249</v>
      </c>
      <c r="B253" s="25" cm="1">
        <f t="array" ref="B253">loi_canard()</f>
        <v>4</v>
      </c>
      <c r="C253" s="25"/>
    </row>
    <row r="254" spans="1:3" x14ac:dyDescent="0.3">
      <c r="A254">
        <v>250</v>
      </c>
      <c r="B254" s="25" cm="1">
        <f t="array" ref="B254">loi_canard()</f>
        <v>4</v>
      </c>
      <c r="C254" s="25"/>
    </row>
    <row r="255" spans="1:3" x14ac:dyDescent="0.3">
      <c r="A255">
        <v>251</v>
      </c>
      <c r="B255" s="25" cm="1">
        <f t="array" ref="B255">loi_canard()</f>
        <v>4</v>
      </c>
      <c r="C255" s="25"/>
    </row>
    <row r="256" spans="1:3" x14ac:dyDescent="0.3">
      <c r="A256">
        <v>252</v>
      </c>
      <c r="B256" s="25" cm="1">
        <f t="array" ref="B256">loi_canard()</f>
        <v>3</v>
      </c>
      <c r="C256" s="25"/>
    </row>
    <row r="257" spans="1:3" x14ac:dyDescent="0.3">
      <c r="A257">
        <v>253</v>
      </c>
      <c r="B257" s="25" cm="1">
        <f t="array" ref="B257">loi_canard()</f>
        <v>3</v>
      </c>
      <c r="C257" s="25"/>
    </row>
    <row r="258" spans="1:3" x14ac:dyDescent="0.3">
      <c r="A258">
        <v>254</v>
      </c>
      <c r="B258" s="25" cm="1">
        <f t="array" ref="B258">loi_canard()</f>
        <v>3</v>
      </c>
      <c r="C258" s="25"/>
    </row>
    <row r="259" spans="1:3" x14ac:dyDescent="0.3">
      <c r="A259">
        <v>255</v>
      </c>
      <c r="B259" s="25" cm="1">
        <f t="array" ref="B259">loi_canard()</f>
        <v>4</v>
      </c>
      <c r="C259" s="25"/>
    </row>
    <row r="260" spans="1:3" x14ac:dyDescent="0.3">
      <c r="A260">
        <v>256</v>
      </c>
      <c r="B260" s="25" cm="1">
        <f t="array" ref="B260">loi_canard()</f>
        <v>2</v>
      </c>
      <c r="C260" s="25"/>
    </row>
    <row r="261" spans="1:3" x14ac:dyDescent="0.3">
      <c r="A261">
        <v>257</v>
      </c>
      <c r="B261" s="25" cm="1">
        <f t="array" ref="B261">loi_canard()</f>
        <v>3</v>
      </c>
      <c r="C261" s="25"/>
    </row>
    <row r="262" spans="1:3" x14ac:dyDescent="0.3">
      <c r="A262">
        <v>258</v>
      </c>
      <c r="B262" s="25" cm="1">
        <f t="array" ref="B262">loi_canard()</f>
        <v>2</v>
      </c>
      <c r="C262" s="25"/>
    </row>
    <row r="263" spans="1:3" x14ac:dyDescent="0.3">
      <c r="A263">
        <v>259</v>
      </c>
      <c r="B263" s="25" cm="1">
        <f t="array" ref="B263">loi_canard()</f>
        <v>4</v>
      </c>
      <c r="C263" s="25"/>
    </row>
    <row r="264" spans="1:3" x14ac:dyDescent="0.3">
      <c r="A264">
        <v>260</v>
      </c>
      <c r="B264" s="25" cm="1">
        <f t="array" ref="B264">loi_canard()</f>
        <v>3</v>
      </c>
      <c r="C264" s="25"/>
    </row>
    <row r="265" spans="1:3" x14ac:dyDescent="0.3">
      <c r="A265">
        <v>261</v>
      </c>
      <c r="B265" s="25" cm="1">
        <f t="array" ref="B265">loi_canard()</f>
        <v>3</v>
      </c>
      <c r="C265" s="25"/>
    </row>
    <row r="266" spans="1:3" x14ac:dyDescent="0.3">
      <c r="A266">
        <v>262</v>
      </c>
      <c r="B266" s="25" cm="1">
        <f t="array" ref="B266">loi_canard()</f>
        <v>3</v>
      </c>
      <c r="C266" s="25"/>
    </row>
    <row r="267" spans="1:3" x14ac:dyDescent="0.3">
      <c r="A267">
        <v>263</v>
      </c>
      <c r="B267" s="25" cm="1">
        <f t="array" ref="B267">loi_canard()</f>
        <v>3</v>
      </c>
      <c r="C267" s="25"/>
    </row>
    <row r="268" spans="1:3" x14ac:dyDescent="0.3">
      <c r="A268">
        <v>264</v>
      </c>
      <c r="B268" s="25" cm="1">
        <f t="array" ref="B268">loi_canard()</f>
        <v>4</v>
      </c>
      <c r="C268" s="25"/>
    </row>
    <row r="269" spans="1:3" x14ac:dyDescent="0.3">
      <c r="A269">
        <v>265</v>
      </c>
      <c r="B269" s="25" cm="1">
        <f t="array" ref="B269">loi_canard()</f>
        <v>3</v>
      </c>
      <c r="C269" s="25"/>
    </row>
    <row r="270" spans="1:3" x14ac:dyDescent="0.3">
      <c r="A270">
        <v>266</v>
      </c>
      <c r="B270" s="25" cm="1">
        <f t="array" ref="B270">loi_canard()</f>
        <v>4</v>
      </c>
      <c r="C270" s="25"/>
    </row>
    <row r="271" spans="1:3" x14ac:dyDescent="0.3">
      <c r="A271">
        <v>267</v>
      </c>
      <c r="B271" s="25" cm="1">
        <f t="array" ref="B271">loi_canard()</f>
        <v>2</v>
      </c>
      <c r="C271" s="25"/>
    </row>
    <row r="272" spans="1:3" x14ac:dyDescent="0.3">
      <c r="A272">
        <v>268</v>
      </c>
      <c r="B272" s="25" cm="1">
        <f t="array" ref="B272">loi_canard()</f>
        <v>3</v>
      </c>
      <c r="C272" s="25"/>
    </row>
    <row r="273" spans="1:3" x14ac:dyDescent="0.3">
      <c r="A273">
        <v>269</v>
      </c>
      <c r="B273" s="25" cm="1">
        <f t="array" ref="B273">loi_canard()</f>
        <v>2</v>
      </c>
      <c r="C273" s="25"/>
    </row>
    <row r="274" spans="1:3" x14ac:dyDescent="0.3">
      <c r="A274">
        <v>270</v>
      </c>
      <c r="B274" s="25" cm="1">
        <f t="array" ref="B274">loi_canard()</f>
        <v>2</v>
      </c>
      <c r="C274" s="25"/>
    </row>
    <row r="275" spans="1:3" x14ac:dyDescent="0.3">
      <c r="A275">
        <v>271</v>
      </c>
      <c r="B275" s="25" cm="1">
        <f t="array" ref="B275">loi_canard()</f>
        <v>4</v>
      </c>
      <c r="C275" s="25"/>
    </row>
    <row r="276" spans="1:3" x14ac:dyDescent="0.3">
      <c r="A276">
        <v>272</v>
      </c>
      <c r="B276" s="25" cm="1">
        <f t="array" ref="B276">loi_canard()</f>
        <v>4</v>
      </c>
      <c r="C276" s="25"/>
    </row>
    <row r="277" spans="1:3" x14ac:dyDescent="0.3">
      <c r="A277">
        <v>273</v>
      </c>
      <c r="B277" s="25" cm="1">
        <f t="array" ref="B277">loi_canard()</f>
        <v>3</v>
      </c>
      <c r="C277" s="25"/>
    </row>
    <row r="278" spans="1:3" x14ac:dyDescent="0.3">
      <c r="A278">
        <v>274</v>
      </c>
      <c r="B278" s="25" cm="1">
        <f t="array" ref="B278">loi_canard()</f>
        <v>4</v>
      </c>
      <c r="C278" s="25"/>
    </row>
    <row r="279" spans="1:3" x14ac:dyDescent="0.3">
      <c r="A279">
        <v>275</v>
      </c>
      <c r="B279" s="25" cm="1">
        <f t="array" ref="B279">loi_canard()</f>
        <v>4</v>
      </c>
      <c r="C279" s="25"/>
    </row>
    <row r="280" spans="1:3" x14ac:dyDescent="0.3">
      <c r="A280">
        <v>276</v>
      </c>
      <c r="B280" s="25" cm="1">
        <f t="array" ref="B280">loi_canard()</f>
        <v>2</v>
      </c>
      <c r="C280" s="25"/>
    </row>
    <row r="281" spans="1:3" x14ac:dyDescent="0.3">
      <c r="A281">
        <v>277</v>
      </c>
      <c r="B281" s="25" cm="1">
        <f t="array" ref="B281">loi_canard()</f>
        <v>3</v>
      </c>
      <c r="C281" s="25"/>
    </row>
    <row r="282" spans="1:3" x14ac:dyDescent="0.3">
      <c r="A282">
        <v>278</v>
      </c>
      <c r="B282" s="25" cm="1">
        <f t="array" ref="B282">loi_canard()</f>
        <v>4</v>
      </c>
      <c r="C282" s="25"/>
    </row>
    <row r="283" spans="1:3" x14ac:dyDescent="0.3">
      <c r="A283">
        <v>279</v>
      </c>
      <c r="B283" s="25" cm="1">
        <f t="array" ref="B283">loi_canard()</f>
        <v>3</v>
      </c>
      <c r="C283" s="25"/>
    </row>
    <row r="284" spans="1:3" x14ac:dyDescent="0.3">
      <c r="A284">
        <v>280</v>
      </c>
      <c r="B284" s="25" cm="1">
        <f t="array" ref="B284">loi_canard()</f>
        <v>2</v>
      </c>
      <c r="C284" s="25"/>
    </row>
    <row r="285" spans="1:3" x14ac:dyDescent="0.3">
      <c r="A285">
        <v>281</v>
      </c>
      <c r="B285" s="25" cm="1">
        <f t="array" ref="B285">loi_canard()</f>
        <v>6</v>
      </c>
      <c r="C285" s="25"/>
    </row>
    <row r="286" spans="1:3" x14ac:dyDescent="0.3">
      <c r="A286">
        <v>282</v>
      </c>
      <c r="B286" s="25" cm="1">
        <f t="array" ref="B286">loi_canard()</f>
        <v>5</v>
      </c>
      <c r="C286" s="25"/>
    </row>
    <row r="287" spans="1:3" x14ac:dyDescent="0.3">
      <c r="A287">
        <v>283</v>
      </c>
      <c r="B287" s="25" cm="1">
        <f t="array" ref="B287">loi_canard()</f>
        <v>4</v>
      </c>
      <c r="C287" s="25"/>
    </row>
    <row r="288" spans="1:3" x14ac:dyDescent="0.3">
      <c r="A288">
        <v>284</v>
      </c>
      <c r="B288" s="25" cm="1">
        <f t="array" ref="B288">loi_canard()</f>
        <v>4</v>
      </c>
      <c r="C288" s="25"/>
    </row>
    <row r="289" spans="1:3" x14ac:dyDescent="0.3">
      <c r="A289">
        <v>285</v>
      </c>
      <c r="B289" s="25" cm="1">
        <f t="array" ref="B289">loi_canard()</f>
        <v>4</v>
      </c>
      <c r="C289" s="25"/>
    </row>
    <row r="290" spans="1:3" x14ac:dyDescent="0.3">
      <c r="A290">
        <v>286</v>
      </c>
      <c r="B290" s="25" cm="1">
        <f t="array" ref="B290">loi_canard()</f>
        <v>3</v>
      </c>
      <c r="C290" s="25"/>
    </row>
    <row r="291" spans="1:3" x14ac:dyDescent="0.3">
      <c r="A291">
        <v>287</v>
      </c>
      <c r="B291" s="25" cm="1">
        <f t="array" ref="B291">loi_canard()</f>
        <v>2</v>
      </c>
      <c r="C291" s="25"/>
    </row>
    <row r="292" spans="1:3" x14ac:dyDescent="0.3">
      <c r="A292">
        <v>288</v>
      </c>
      <c r="B292" s="25" cm="1">
        <f t="array" ref="B292">loi_canard()</f>
        <v>2</v>
      </c>
      <c r="C292" s="25"/>
    </row>
    <row r="293" spans="1:3" x14ac:dyDescent="0.3">
      <c r="A293">
        <v>289</v>
      </c>
      <c r="B293" s="25" cm="1">
        <f t="array" ref="B293">loi_canard()</f>
        <v>4</v>
      </c>
      <c r="C293" s="25"/>
    </row>
    <row r="294" spans="1:3" x14ac:dyDescent="0.3">
      <c r="A294">
        <v>290</v>
      </c>
      <c r="B294" s="25" cm="1">
        <f t="array" ref="B294">loi_canard()</f>
        <v>4</v>
      </c>
      <c r="C294" s="25"/>
    </row>
    <row r="295" spans="1:3" x14ac:dyDescent="0.3">
      <c r="A295">
        <v>291</v>
      </c>
      <c r="B295" s="25" cm="1">
        <f t="array" ref="B295">loi_canard()</f>
        <v>5</v>
      </c>
      <c r="C295" s="25"/>
    </row>
    <row r="296" spans="1:3" x14ac:dyDescent="0.3">
      <c r="A296">
        <v>292</v>
      </c>
      <c r="B296" s="25" cm="1">
        <f t="array" ref="B296">loi_canard()</f>
        <v>4</v>
      </c>
      <c r="C296" s="25"/>
    </row>
    <row r="297" spans="1:3" x14ac:dyDescent="0.3">
      <c r="A297">
        <v>293</v>
      </c>
      <c r="B297" s="25" cm="1">
        <f t="array" ref="B297">loi_canard()</f>
        <v>2</v>
      </c>
      <c r="C297" s="25"/>
    </row>
    <row r="298" spans="1:3" x14ac:dyDescent="0.3">
      <c r="A298">
        <v>294</v>
      </c>
      <c r="B298" s="25" cm="1">
        <f t="array" ref="B298">loi_canard()</f>
        <v>2</v>
      </c>
      <c r="C298" s="25"/>
    </row>
    <row r="299" spans="1:3" x14ac:dyDescent="0.3">
      <c r="A299">
        <v>295</v>
      </c>
      <c r="B299" s="25" cm="1">
        <f t="array" ref="B299">loi_canard()</f>
        <v>4</v>
      </c>
      <c r="C299" s="25"/>
    </row>
    <row r="300" spans="1:3" x14ac:dyDescent="0.3">
      <c r="A300">
        <v>296</v>
      </c>
      <c r="B300" s="25" cm="1">
        <f t="array" ref="B300">loi_canard()</f>
        <v>3</v>
      </c>
      <c r="C300" s="25"/>
    </row>
    <row r="301" spans="1:3" x14ac:dyDescent="0.3">
      <c r="A301">
        <v>297</v>
      </c>
      <c r="B301" s="25" cm="1">
        <f t="array" ref="B301">loi_canard()</f>
        <v>2</v>
      </c>
      <c r="C301" s="25"/>
    </row>
    <row r="302" spans="1:3" x14ac:dyDescent="0.3">
      <c r="A302">
        <v>298</v>
      </c>
      <c r="B302" s="25" cm="1">
        <f t="array" ref="B302">loi_canard()</f>
        <v>7</v>
      </c>
      <c r="C302" s="25"/>
    </row>
    <row r="303" spans="1:3" x14ac:dyDescent="0.3">
      <c r="A303">
        <v>299</v>
      </c>
      <c r="B303" s="25" cm="1">
        <f t="array" ref="B303">loi_canard()</f>
        <v>4</v>
      </c>
      <c r="C303" s="25"/>
    </row>
    <row r="304" spans="1:3" x14ac:dyDescent="0.3">
      <c r="A304">
        <v>300</v>
      </c>
      <c r="B304" s="25" cm="1">
        <f t="array" ref="B304">loi_canard()</f>
        <v>4</v>
      </c>
      <c r="C304" s="25"/>
    </row>
    <row r="305" spans="1:3" x14ac:dyDescent="0.3">
      <c r="A305">
        <v>301</v>
      </c>
      <c r="B305" s="25" cm="1">
        <f t="array" ref="B305">loi_canard()</f>
        <v>2</v>
      </c>
      <c r="C305" s="25"/>
    </row>
    <row r="306" spans="1:3" x14ac:dyDescent="0.3">
      <c r="A306">
        <v>302</v>
      </c>
      <c r="B306" s="25" cm="1">
        <f t="array" ref="B306">loi_canard()</f>
        <v>3</v>
      </c>
      <c r="C306" s="25"/>
    </row>
    <row r="307" spans="1:3" x14ac:dyDescent="0.3">
      <c r="A307">
        <v>303</v>
      </c>
      <c r="B307" s="25" cm="1">
        <f t="array" ref="B307">loi_canard()</f>
        <v>4</v>
      </c>
      <c r="C307" s="25"/>
    </row>
    <row r="308" spans="1:3" x14ac:dyDescent="0.3">
      <c r="A308">
        <v>304</v>
      </c>
      <c r="B308" s="25" cm="1">
        <f t="array" ref="B308">loi_canard()</f>
        <v>4</v>
      </c>
      <c r="C308" s="25"/>
    </row>
    <row r="309" spans="1:3" x14ac:dyDescent="0.3">
      <c r="A309">
        <v>305</v>
      </c>
      <c r="B309" s="25" cm="1">
        <f t="array" ref="B309">loi_canard()</f>
        <v>2</v>
      </c>
      <c r="C309" s="25"/>
    </row>
    <row r="310" spans="1:3" x14ac:dyDescent="0.3">
      <c r="A310">
        <v>306</v>
      </c>
      <c r="B310" s="25" cm="1">
        <f t="array" ref="B310">loi_canard()</f>
        <v>5</v>
      </c>
      <c r="C310" s="25"/>
    </row>
    <row r="311" spans="1:3" x14ac:dyDescent="0.3">
      <c r="A311">
        <v>307</v>
      </c>
      <c r="B311" s="25" cm="1">
        <f t="array" ref="B311">loi_canard()</f>
        <v>5</v>
      </c>
      <c r="C311" s="25"/>
    </row>
    <row r="312" spans="1:3" x14ac:dyDescent="0.3">
      <c r="A312">
        <v>308</v>
      </c>
      <c r="B312" s="25" cm="1">
        <f t="array" ref="B312">loi_canard()</f>
        <v>5</v>
      </c>
      <c r="C312" s="25"/>
    </row>
    <row r="313" spans="1:3" x14ac:dyDescent="0.3">
      <c r="A313">
        <v>309</v>
      </c>
      <c r="B313" s="25" cm="1">
        <f t="array" ref="B313">loi_canard()</f>
        <v>4</v>
      </c>
      <c r="C313" s="25"/>
    </row>
    <row r="314" spans="1:3" x14ac:dyDescent="0.3">
      <c r="A314">
        <v>310</v>
      </c>
      <c r="B314" s="25" cm="1">
        <f t="array" ref="B314">loi_canard()</f>
        <v>4</v>
      </c>
      <c r="C314" s="25"/>
    </row>
    <row r="315" spans="1:3" x14ac:dyDescent="0.3">
      <c r="A315">
        <v>311</v>
      </c>
      <c r="B315" s="25" cm="1">
        <f t="array" ref="B315">loi_canard()</f>
        <v>2</v>
      </c>
      <c r="C315" s="25"/>
    </row>
    <row r="316" spans="1:3" x14ac:dyDescent="0.3">
      <c r="A316">
        <v>312</v>
      </c>
      <c r="B316" s="25" cm="1">
        <f t="array" ref="B316">loi_canard()</f>
        <v>5</v>
      </c>
      <c r="C316" s="25"/>
    </row>
    <row r="317" spans="1:3" x14ac:dyDescent="0.3">
      <c r="A317">
        <v>313</v>
      </c>
      <c r="B317" s="25" cm="1">
        <f t="array" ref="B317">loi_canard()</f>
        <v>3</v>
      </c>
      <c r="C317" s="25"/>
    </row>
    <row r="318" spans="1:3" x14ac:dyDescent="0.3">
      <c r="A318">
        <v>314</v>
      </c>
      <c r="B318" s="25" cm="1">
        <f t="array" ref="B318">loi_canard()</f>
        <v>4</v>
      </c>
      <c r="C318" s="25"/>
    </row>
    <row r="319" spans="1:3" x14ac:dyDescent="0.3">
      <c r="A319">
        <v>315</v>
      </c>
      <c r="B319" s="25" cm="1">
        <f t="array" ref="B319">loi_canard()</f>
        <v>4</v>
      </c>
      <c r="C319" s="25"/>
    </row>
    <row r="320" spans="1:3" x14ac:dyDescent="0.3">
      <c r="A320">
        <v>316</v>
      </c>
      <c r="B320" s="25" cm="1">
        <f t="array" ref="B320">loi_canard()</f>
        <v>4</v>
      </c>
      <c r="C320" s="25"/>
    </row>
    <row r="321" spans="1:3" x14ac:dyDescent="0.3">
      <c r="A321">
        <v>317</v>
      </c>
      <c r="B321" s="25" cm="1">
        <f t="array" ref="B321">loi_canard()</f>
        <v>4</v>
      </c>
      <c r="C321" s="25"/>
    </row>
    <row r="322" spans="1:3" x14ac:dyDescent="0.3">
      <c r="A322">
        <v>318</v>
      </c>
      <c r="B322" s="25" cm="1">
        <f t="array" ref="B322">loi_canard()</f>
        <v>4</v>
      </c>
      <c r="C322" s="25"/>
    </row>
    <row r="323" spans="1:3" x14ac:dyDescent="0.3">
      <c r="A323">
        <v>319</v>
      </c>
      <c r="B323" s="25" cm="1">
        <f t="array" ref="B323">loi_canard()</f>
        <v>4</v>
      </c>
      <c r="C323" s="25"/>
    </row>
    <row r="324" spans="1:3" x14ac:dyDescent="0.3">
      <c r="A324">
        <v>320</v>
      </c>
      <c r="B324" s="25" cm="1">
        <f t="array" ref="B324">loi_canard()</f>
        <v>2</v>
      </c>
      <c r="C324" s="25"/>
    </row>
    <row r="325" spans="1:3" x14ac:dyDescent="0.3">
      <c r="A325">
        <v>321</v>
      </c>
      <c r="B325" s="25" cm="1">
        <f t="array" ref="B325">loi_canard()</f>
        <v>4</v>
      </c>
      <c r="C325" s="25"/>
    </row>
    <row r="326" spans="1:3" x14ac:dyDescent="0.3">
      <c r="A326">
        <v>322</v>
      </c>
      <c r="B326" s="25" cm="1">
        <f t="array" ref="B326">loi_canard()</f>
        <v>5</v>
      </c>
      <c r="C326" s="25"/>
    </row>
    <row r="327" spans="1:3" x14ac:dyDescent="0.3">
      <c r="A327">
        <v>323</v>
      </c>
      <c r="B327" s="25" cm="1">
        <f t="array" ref="B327">loi_canard()</f>
        <v>3</v>
      </c>
      <c r="C327" s="25"/>
    </row>
    <row r="328" spans="1:3" x14ac:dyDescent="0.3">
      <c r="A328">
        <v>324</v>
      </c>
      <c r="B328" s="25" cm="1">
        <f t="array" ref="B328">loi_canard()</f>
        <v>3</v>
      </c>
      <c r="C328" s="25"/>
    </row>
    <row r="329" spans="1:3" x14ac:dyDescent="0.3">
      <c r="A329">
        <v>325</v>
      </c>
      <c r="B329" s="25" cm="1">
        <f t="array" ref="B329">loi_canard()</f>
        <v>4</v>
      </c>
      <c r="C329" s="25"/>
    </row>
    <row r="330" spans="1:3" x14ac:dyDescent="0.3">
      <c r="A330">
        <v>326</v>
      </c>
      <c r="B330" s="25" cm="1">
        <f t="array" ref="B330">loi_canard()</f>
        <v>3</v>
      </c>
      <c r="C330" s="25"/>
    </row>
    <row r="331" spans="1:3" x14ac:dyDescent="0.3">
      <c r="A331">
        <v>327</v>
      </c>
      <c r="B331" s="25" cm="1">
        <f t="array" ref="B331">loi_canard()</f>
        <v>5</v>
      </c>
      <c r="C331" s="25"/>
    </row>
    <row r="332" spans="1:3" x14ac:dyDescent="0.3">
      <c r="A332">
        <v>328</v>
      </c>
      <c r="B332" s="25" cm="1">
        <f t="array" ref="B332">loi_canard()</f>
        <v>5</v>
      </c>
      <c r="C332" s="25"/>
    </row>
    <row r="333" spans="1:3" x14ac:dyDescent="0.3">
      <c r="A333">
        <v>329</v>
      </c>
      <c r="B333" s="25" cm="1">
        <f t="array" ref="B333">loi_canard()</f>
        <v>2</v>
      </c>
      <c r="C333" s="25"/>
    </row>
    <row r="334" spans="1:3" x14ac:dyDescent="0.3">
      <c r="A334">
        <v>330</v>
      </c>
      <c r="B334" s="25" cm="1">
        <f t="array" ref="B334">loi_canard()</f>
        <v>3</v>
      </c>
      <c r="C334" s="25"/>
    </row>
    <row r="335" spans="1:3" x14ac:dyDescent="0.3">
      <c r="A335">
        <v>331</v>
      </c>
      <c r="B335" s="25" cm="1">
        <f t="array" ref="B335">loi_canard()</f>
        <v>4</v>
      </c>
      <c r="C335" s="25"/>
    </row>
    <row r="336" spans="1:3" x14ac:dyDescent="0.3">
      <c r="A336">
        <v>332</v>
      </c>
      <c r="B336" s="25" cm="1">
        <f t="array" ref="B336">loi_canard()</f>
        <v>3</v>
      </c>
      <c r="C336" s="25"/>
    </row>
    <row r="337" spans="1:3" x14ac:dyDescent="0.3">
      <c r="A337">
        <v>333</v>
      </c>
      <c r="B337" s="25" cm="1">
        <f t="array" ref="B337">loi_canard()</f>
        <v>4</v>
      </c>
      <c r="C337" s="25"/>
    </row>
    <row r="338" spans="1:3" x14ac:dyDescent="0.3">
      <c r="A338">
        <v>334</v>
      </c>
      <c r="B338" s="25" cm="1">
        <f t="array" ref="B338">loi_canard()</f>
        <v>3</v>
      </c>
      <c r="C338" s="25"/>
    </row>
    <row r="339" spans="1:3" x14ac:dyDescent="0.3">
      <c r="A339">
        <v>335</v>
      </c>
      <c r="B339" s="25" cm="1">
        <f t="array" ref="B339">loi_canard()</f>
        <v>2</v>
      </c>
      <c r="C339" s="25"/>
    </row>
    <row r="340" spans="1:3" x14ac:dyDescent="0.3">
      <c r="A340">
        <v>336</v>
      </c>
      <c r="B340" s="25" cm="1">
        <f t="array" ref="B340">loi_canard()</f>
        <v>3</v>
      </c>
      <c r="C340" s="25"/>
    </row>
    <row r="341" spans="1:3" x14ac:dyDescent="0.3">
      <c r="A341">
        <v>337</v>
      </c>
      <c r="B341" s="25" cm="1">
        <f t="array" ref="B341">loi_canard()</f>
        <v>5</v>
      </c>
      <c r="C341" s="25"/>
    </row>
    <row r="342" spans="1:3" x14ac:dyDescent="0.3">
      <c r="A342">
        <v>338</v>
      </c>
      <c r="B342" s="25" cm="1">
        <f t="array" ref="B342">loi_canard()</f>
        <v>5</v>
      </c>
      <c r="C342" s="25"/>
    </row>
    <row r="343" spans="1:3" x14ac:dyDescent="0.3">
      <c r="A343">
        <v>339</v>
      </c>
      <c r="B343" s="25" cm="1">
        <f t="array" ref="B343">loi_canard()</f>
        <v>3</v>
      </c>
      <c r="C343" s="25"/>
    </row>
    <row r="344" spans="1:3" x14ac:dyDescent="0.3">
      <c r="A344">
        <v>340</v>
      </c>
      <c r="B344" s="25" cm="1">
        <f t="array" ref="B344">loi_canard()</f>
        <v>4</v>
      </c>
      <c r="C344" s="25"/>
    </row>
    <row r="345" spans="1:3" x14ac:dyDescent="0.3">
      <c r="A345">
        <v>341</v>
      </c>
      <c r="B345" s="25" cm="1">
        <f t="array" ref="B345">loi_canard()</f>
        <v>4</v>
      </c>
      <c r="C345" s="25"/>
    </row>
    <row r="346" spans="1:3" x14ac:dyDescent="0.3">
      <c r="A346">
        <v>342</v>
      </c>
      <c r="B346" s="25" cm="1">
        <f t="array" ref="B346">loi_canard()</f>
        <v>2</v>
      </c>
      <c r="C346" s="25"/>
    </row>
    <row r="347" spans="1:3" x14ac:dyDescent="0.3">
      <c r="A347">
        <v>343</v>
      </c>
      <c r="B347" s="25" cm="1">
        <f t="array" ref="B347">loi_canard()</f>
        <v>3</v>
      </c>
      <c r="C347" s="25"/>
    </row>
    <row r="348" spans="1:3" x14ac:dyDescent="0.3">
      <c r="A348">
        <v>344</v>
      </c>
      <c r="B348" s="25" cm="1">
        <f t="array" ref="B348">loi_canard()</f>
        <v>5</v>
      </c>
      <c r="C348" s="25"/>
    </row>
    <row r="349" spans="1:3" x14ac:dyDescent="0.3">
      <c r="A349">
        <v>345</v>
      </c>
      <c r="B349" s="25" cm="1">
        <f t="array" ref="B349">loi_canard()</f>
        <v>3</v>
      </c>
      <c r="C349" s="25"/>
    </row>
    <row r="350" spans="1:3" x14ac:dyDescent="0.3">
      <c r="A350">
        <v>346</v>
      </c>
      <c r="B350" s="25" cm="1">
        <f t="array" ref="B350">loi_canard()</f>
        <v>4</v>
      </c>
      <c r="C350" s="25"/>
    </row>
    <row r="351" spans="1:3" x14ac:dyDescent="0.3">
      <c r="A351">
        <v>347</v>
      </c>
      <c r="B351" s="25" cm="1">
        <f t="array" ref="B351">loi_canard()</f>
        <v>2</v>
      </c>
      <c r="C351" s="25"/>
    </row>
    <row r="352" spans="1:3" x14ac:dyDescent="0.3">
      <c r="A352">
        <v>348</v>
      </c>
      <c r="B352" s="25" cm="1">
        <f t="array" ref="B352">loi_canard()</f>
        <v>4</v>
      </c>
      <c r="C352" s="25"/>
    </row>
    <row r="353" spans="1:3" x14ac:dyDescent="0.3">
      <c r="A353">
        <v>349</v>
      </c>
      <c r="B353" s="25" cm="1">
        <f t="array" ref="B353">loi_canard()</f>
        <v>3</v>
      </c>
      <c r="C353" s="25"/>
    </row>
    <row r="354" spans="1:3" x14ac:dyDescent="0.3">
      <c r="A354">
        <v>350</v>
      </c>
      <c r="B354" s="25" cm="1">
        <f t="array" ref="B354">loi_canard()</f>
        <v>4</v>
      </c>
      <c r="C354" s="25"/>
    </row>
    <row r="355" spans="1:3" x14ac:dyDescent="0.3">
      <c r="A355">
        <v>351</v>
      </c>
      <c r="B355" s="25" cm="1">
        <f t="array" ref="B355">loi_canard()</f>
        <v>4</v>
      </c>
      <c r="C355" s="25"/>
    </row>
    <row r="356" spans="1:3" x14ac:dyDescent="0.3">
      <c r="A356">
        <v>352</v>
      </c>
      <c r="B356" s="25" cm="1">
        <f t="array" ref="B356">loi_canard()</f>
        <v>3</v>
      </c>
      <c r="C356" s="25"/>
    </row>
    <row r="357" spans="1:3" x14ac:dyDescent="0.3">
      <c r="A357">
        <v>353</v>
      </c>
      <c r="B357" s="25" cm="1">
        <f t="array" ref="B357">loi_canard()</f>
        <v>4</v>
      </c>
      <c r="C357" s="25"/>
    </row>
    <row r="358" spans="1:3" x14ac:dyDescent="0.3">
      <c r="A358">
        <v>354</v>
      </c>
      <c r="B358" s="25" cm="1">
        <f t="array" ref="B358">loi_canard()</f>
        <v>4</v>
      </c>
      <c r="C358" s="25"/>
    </row>
    <row r="359" spans="1:3" x14ac:dyDescent="0.3">
      <c r="A359">
        <v>355</v>
      </c>
      <c r="B359" s="25" cm="1">
        <f t="array" ref="B359">loi_canard()</f>
        <v>3</v>
      </c>
      <c r="C359" s="25"/>
    </row>
    <row r="360" spans="1:3" x14ac:dyDescent="0.3">
      <c r="A360">
        <v>356</v>
      </c>
      <c r="B360" s="25" cm="1">
        <f t="array" ref="B360">loi_canard()</f>
        <v>3</v>
      </c>
      <c r="C360" s="25"/>
    </row>
    <row r="361" spans="1:3" x14ac:dyDescent="0.3">
      <c r="A361">
        <v>357</v>
      </c>
      <c r="B361" s="25" cm="1">
        <f t="array" ref="B361">loi_canard()</f>
        <v>3</v>
      </c>
      <c r="C361" s="25"/>
    </row>
    <row r="362" spans="1:3" x14ac:dyDescent="0.3">
      <c r="A362">
        <v>358</v>
      </c>
      <c r="B362" s="25" cm="1">
        <f t="array" ref="B362">loi_canard()</f>
        <v>3</v>
      </c>
      <c r="C362" s="25"/>
    </row>
    <row r="363" spans="1:3" x14ac:dyDescent="0.3">
      <c r="A363">
        <v>359</v>
      </c>
      <c r="B363" s="25" cm="1">
        <f t="array" ref="B363">loi_canard()</f>
        <v>4</v>
      </c>
      <c r="C363" s="25"/>
    </row>
    <row r="364" spans="1:3" x14ac:dyDescent="0.3">
      <c r="A364">
        <v>360</v>
      </c>
      <c r="B364" s="25" cm="1">
        <f t="array" ref="B364">loi_canard()</f>
        <v>3</v>
      </c>
      <c r="C364" s="25"/>
    </row>
    <row r="365" spans="1:3" x14ac:dyDescent="0.3">
      <c r="A365">
        <v>361</v>
      </c>
      <c r="B365" s="25" cm="1">
        <f t="array" ref="B365">loi_canard()</f>
        <v>3</v>
      </c>
      <c r="C365" s="25"/>
    </row>
    <row r="366" spans="1:3" x14ac:dyDescent="0.3">
      <c r="A366">
        <v>362</v>
      </c>
      <c r="B366" s="25" cm="1">
        <f t="array" ref="B366">loi_canard()</f>
        <v>3</v>
      </c>
      <c r="C366" s="25"/>
    </row>
    <row r="367" spans="1:3" x14ac:dyDescent="0.3">
      <c r="A367">
        <v>363</v>
      </c>
      <c r="B367" s="25" cm="1">
        <f t="array" ref="B367">loi_canard()</f>
        <v>4</v>
      </c>
      <c r="C367" s="25"/>
    </row>
    <row r="368" spans="1:3" x14ac:dyDescent="0.3">
      <c r="A368">
        <v>364</v>
      </c>
      <c r="B368" s="25" cm="1">
        <f t="array" ref="B368">loi_canard()</f>
        <v>3</v>
      </c>
      <c r="C368" s="25"/>
    </row>
    <row r="369" spans="1:3" x14ac:dyDescent="0.3">
      <c r="A369">
        <v>365</v>
      </c>
      <c r="B369" s="25" cm="1">
        <f t="array" ref="B369">loi_canard()</f>
        <v>5</v>
      </c>
      <c r="C369" s="25"/>
    </row>
    <row r="370" spans="1:3" x14ac:dyDescent="0.3">
      <c r="A370">
        <v>366</v>
      </c>
      <c r="B370" s="25" cm="1">
        <f t="array" ref="B370">loi_canard()</f>
        <v>5</v>
      </c>
      <c r="C370" s="25"/>
    </row>
    <row r="371" spans="1:3" x14ac:dyDescent="0.3">
      <c r="A371">
        <v>367</v>
      </c>
      <c r="B371" s="25" cm="1">
        <f t="array" ref="B371">loi_canard()</f>
        <v>2</v>
      </c>
      <c r="C371" s="25"/>
    </row>
    <row r="372" spans="1:3" x14ac:dyDescent="0.3">
      <c r="A372">
        <v>368</v>
      </c>
      <c r="B372" s="25" cm="1">
        <f t="array" ref="B372">loi_canard()</f>
        <v>4</v>
      </c>
      <c r="C372" s="25"/>
    </row>
    <row r="373" spans="1:3" x14ac:dyDescent="0.3">
      <c r="A373">
        <v>369</v>
      </c>
      <c r="B373" s="25" cm="1">
        <f t="array" ref="B373">loi_canard()</f>
        <v>3</v>
      </c>
      <c r="C373" s="25"/>
    </row>
    <row r="374" spans="1:3" x14ac:dyDescent="0.3">
      <c r="A374">
        <v>370</v>
      </c>
      <c r="B374" s="25" cm="1">
        <f t="array" ref="B374">loi_canard()</f>
        <v>5</v>
      </c>
      <c r="C374" s="25"/>
    </row>
    <row r="375" spans="1:3" x14ac:dyDescent="0.3">
      <c r="A375">
        <v>371</v>
      </c>
      <c r="B375" s="25" cm="1">
        <f t="array" ref="B375">loi_canard()</f>
        <v>4</v>
      </c>
      <c r="C375" s="25"/>
    </row>
    <row r="376" spans="1:3" x14ac:dyDescent="0.3">
      <c r="A376">
        <v>372</v>
      </c>
      <c r="B376" s="25" cm="1">
        <f t="array" ref="B376">loi_canard()</f>
        <v>3</v>
      </c>
      <c r="C376" s="25"/>
    </row>
    <row r="377" spans="1:3" x14ac:dyDescent="0.3">
      <c r="A377">
        <v>373</v>
      </c>
      <c r="B377" s="25" cm="1">
        <f t="array" ref="B377">loi_canard()</f>
        <v>3</v>
      </c>
      <c r="C377" s="25"/>
    </row>
    <row r="378" spans="1:3" x14ac:dyDescent="0.3">
      <c r="A378">
        <v>374</v>
      </c>
      <c r="B378" s="25" cm="1">
        <f t="array" ref="B378">loi_canard()</f>
        <v>3</v>
      </c>
      <c r="C378" s="25"/>
    </row>
    <row r="379" spans="1:3" x14ac:dyDescent="0.3">
      <c r="A379">
        <v>375</v>
      </c>
      <c r="B379" s="25" cm="1">
        <f t="array" ref="B379">loi_canard()</f>
        <v>3</v>
      </c>
      <c r="C379" s="25"/>
    </row>
    <row r="380" spans="1:3" x14ac:dyDescent="0.3">
      <c r="A380">
        <v>376</v>
      </c>
      <c r="B380" s="25" cm="1">
        <f t="array" ref="B380">loi_canard()</f>
        <v>4</v>
      </c>
      <c r="C380" s="25"/>
    </row>
    <row r="381" spans="1:3" x14ac:dyDescent="0.3">
      <c r="A381">
        <v>377</v>
      </c>
      <c r="B381" s="25" cm="1">
        <f t="array" ref="B381">loi_canard()</f>
        <v>3</v>
      </c>
      <c r="C381" s="25"/>
    </row>
    <row r="382" spans="1:3" x14ac:dyDescent="0.3">
      <c r="A382">
        <v>378</v>
      </c>
      <c r="B382" s="25" cm="1">
        <f t="array" ref="B382">loi_canard()</f>
        <v>3</v>
      </c>
      <c r="C382" s="25"/>
    </row>
    <row r="383" spans="1:3" x14ac:dyDescent="0.3">
      <c r="A383">
        <v>379</v>
      </c>
      <c r="B383" s="25" cm="1">
        <f t="array" ref="B383">loi_canard()</f>
        <v>3</v>
      </c>
      <c r="C383" s="25"/>
    </row>
    <row r="384" spans="1:3" x14ac:dyDescent="0.3">
      <c r="A384">
        <v>380</v>
      </c>
      <c r="B384" s="25" cm="1">
        <f t="array" ref="B384">loi_canard()</f>
        <v>5</v>
      </c>
      <c r="C384" s="25"/>
    </row>
    <row r="385" spans="1:3" x14ac:dyDescent="0.3">
      <c r="A385">
        <v>381</v>
      </c>
      <c r="B385" s="25" cm="1">
        <f t="array" ref="B385">loi_canard()</f>
        <v>2</v>
      </c>
      <c r="C385" s="25"/>
    </row>
    <row r="386" spans="1:3" x14ac:dyDescent="0.3">
      <c r="A386">
        <v>382</v>
      </c>
      <c r="B386" s="25" cm="1">
        <f t="array" ref="B386">loi_canard()</f>
        <v>2</v>
      </c>
      <c r="C386" s="25"/>
    </row>
    <row r="387" spans="1:3" x14ac:dyDescent="0.3">
      <c r="A387">
        <v>383</v>
      </c>
      <c r="B387" s="25" cm="1">
        <f t="array" ref="B387">loi_canard()</f>
        <v>4</v>
      </c>
      <c r="C387" s="25"/>
    </row>
    <row r="388" spans="1:3" x14ac:dyDescent="0.3">
      <c r="A388">
        <v>384</v>
      </c>
      <c r="B388" s="25" cm="1">
        <f t="array" ref="B388">loi_canard()</f>
        <v>3</v>
      </c>
      <c r="C388" s="25"/>
    </row>
    <row r="389" spans="1:3" x14ac:dyDescent="0.3">
      <c r="A389">
        <v>385</v>
      </c>
      <c r="B389" s="25" cm="1">
        <f t="array" ref="B389">loi_canard()</f>
        <v>5</v>
      </c>
      <c r="C389" s="25"/>
    </row>
    <row r="390" spans="1:3" x14ac:dyDescent="0.3">
      <c r="A390">
        <v>386</v>
      </c>
      <c r="B390" s="25" cm="1">
        <f t="array" ref="B390">loi_canard()</f>
        <v>4</v>
      </c>
      <c r="C390" s="25"/>
    </row>
    <row r="391" spans="1:3" x14ac:dyDescent="0.3">
      <c r="A391">
        <v>387</v>
      </c>
      <c r="B391" s="25" cm="1">
        <f t="array" ref="B391">loi_canard()</f>
        <v>4</v>
      </c>
      <c r="C391" s="25"/>
    </row>
    <row r="392" spans="1:3" x14ac:dyDescent="0.3">
      <c r="A392">
        <v>388</v>
      </c>
      <c r="B392" s="25" cm="1">
        <f t="array" ref="B392">loi_canard()</f>
        <v>2</v>
      </c>
      <c r="C392" s="25"/>
    </row>
    <row r="393" spans="1:3" x14ac:dyDescent="0.3">
      <c r="A393">
        <v>389</v>
      </c>
      <c r="B393" s="25" cm="1">
        <f t="array" ref="B393">loi_canard()</f>
        <v>4</v>
      </c>
      <c r="C393" s="25"/>
    </row>
    <row r="394" spans="1:3" x14ac:dyDescent="0.3">
      <c r="A394">
        <v>390</v>
      </c>
      <c r="B394" s="25" cm="1">
        <f t="array" ref="B394">loi_canard()</f>
        <v>5</v>
      </c>
      <c r="C394" s="25"/>
    </row>
    <row r="395" spans="1:3" x14ac:dyDescent="0.3">
      <c r="A395">
        <v>391</v>
      </c>
      <c r="B395" s="25" cm="1">
        <f t="array" ref="B395">loi_canard()</f>
        <v>5</v>
      </c>
      <c r="C395" s="25"/>
    </row>
    <row r="396" spans="1:3" x14ac:dyDescent="0.3">
      <c r="A396">
        <v>392</v>
      </c>
      <c r="B396" s="25" cm="1">
        <f t="array" ref="B396">loi_canard()</f>
        <v>2</v>
      </c>
      <c r="C396" s="25"/>
    </row>
    <row r="397" spans="1:3" x14ac:dyDescent="0.3">
      <c r="A397">
        <v>393</v>
      </c>
      <c r="B397" s="25" cm="1">
        <f t="array" ref="B397">loi_canard()</f>
        <v>3</v>
      </c>
      <c r="C397" s="25"/>
    </row>
    <row r="398" spans="1:3" x14ac:dyDescent="0.3">
      <c r="A398">
        <v>394</v>
      </c>
      <c r="B398" s="25" cm="1">
        <f t="array" ref="B398">loi_canard()</f>
        <v>3</v>
      </c>
      <c r="C398" s="25"/>
    </row>
    <row r="399" spans="1:3" x14ac:dyDescent="0.3">
      <c r="A399">
        <v>395</v>
      </c>
      <c r="B399" s="25" cm="1">
        <f t="array" ref="B399">loi_canard()</f>
        <v>2</v>
      </c>
      <c r="C399" s="25"/>
    </row>
    <row r="400" spans="1:3" x14ac:dyDescent="0.3">
      <c r="A400">
        <v>396</v>
      </c>
      <c r="B400" s="25" cm="1">
        <f t="array" ref="B400">loi_canard()</f>
        <v>3</v>
      </c>
      <c r="C400" s="25"/>
    </row>
    <row r="401" spans="1:3" x14ac:dyDescent="0.3">
      <c r="A401">
        <v>397</v>
      </c>
      <c r="B401" s="25" cm="1">
        <f t="array" ref="B401">loi_canard()</f>
        <v>2</v>
      </c>
      <c r="C401" s="25"/>
    </row>
    <row r="402" spans="1:3" x14ac:dyDescent="0.3">
      <c r="A402">
        <v>398</v>
      </c>
      <c r="B402" s="25" cm="1">
        <f t="array" ref="B402">loi_canard()</f>
        <v>4</v>
      </c>
      <c r="C402" s="25"/>
    </row>
    <row r="403" spans="1:3" x14ac:dyDescent="0.3">
      <c r="A403">
        <v>399</v>
      </c>
      <c r="B403" s="25" cm="1">
        <f t="array" ref="B403">loi_canard()</f>
        <v>3</v>
      </c>
      <c r="C403" s="25"/>
    </row>
    <row r="404" spans="1:3" x14ac:dyDescent="0.3">
      <c r="A404">
        <v>400</v>
      </c>
      <c r="B404" s="25" cm="1">
        <f t="array" ref="B404">loi_canard()</f>
        <v>3</v>
      </c>
      <c r="C404" s="25"/>
    </row>
    <row r="405" spans="1:3" x14ac:dyDescent="0.3">
      <c r="A405">
        <v>401</v>
      </c>
      <c r="B405" s="25" cm="1">
        <f t="array" ref="B405">loi_canard()</f>
        <v>4</v>
      </c>
      <c r="C405" s="25"/>
    </row>
    <row r="406" spans="1:3" x14ac:dyDescent="0.3">
      <c r="A406">
        <v>402</v>
      </c>
      <c r="B406" s="25" cm="1">
        <f t="array" ref="B406">loi_canard()</f>
        <v>2</v>
      </c>
      <c r="C406" s="25"/>
    </row>
    <row r="407" spans="1:3" x14ac:dyDescent="0.3">
      <c r="A407">
        <v>403</v>
      </c>
      <c r="B407" s="25" cm="1">
        <f t="array" ref="B407">loi_canard()</f>
        <v>4</v>
      </c>
      <c r="C407" s="25"/>
    </row>
    <row r="408" spans="1:3" x14ac:dyDescent="0.3">
      <c r="A408">
        <v>404</v>
      </c>
      <c r="B408" s="25" cm="1">
        <f t="array" ref="B408">loi_canard()</f>
        <v>3</v>
      </c>
      <c r="C408" s="25"/>
    </row>
    <row r="409" spans="1:3" x14ac:dyDescent="0.3">
      <c r="A409">
        <v>405</v>
      </c>
      <c r="B409" s="25" cm="1">
        <f t="array" ref="B409">loi_canard()</f>
        <v>3</v>
      </c>
      <c r="C409" s="25"/>
    </row>
    <row r="410" spans="1:3" x14ac:dyDescent="0.3">
      <c r="A410">
        <v>406</v>
      </c>
      <c r="B410" s="25" cm="1">
        <f t="array" ref="B410">loi_canard()</f>
        <v>5</v>
      </c>
      <c r="C410" s="25"/>
    </row>
    <row r="411" spans="1:3" x14ac:dyDescent="0.3">
      <c r="A411">
        <v>407</v>
      </c>
      <c r="B411" s="25" cm="1">
        <f t="array" ref="B411">loi_canard()</f>
        <v>5</v>
      </c>
      <c r="C411" s="25"/>
    </row>
    <row r="412" spans="1:3" x14ac:dyDescent="0.3">
      <c r="A412">
        <v>408</v>
      </c>
      <c r="B412" s="25" cm="1">
        <f t="array" ref="B412">loi_canard()</f>
        <v>2</v>
      </c>
      <c r="C412" s="25"/>
    </row>
    <row r="413" spans="1:3" x14ac:dyDescent="0.3">
      <c r="A413">
        <v>409</v>
      </c>
      <c r="B413" s="25" cm="1">
        <f t="array" ref="B413">loi_canard()</f>
        <v>2</v>
      </c>
      <c r="C413" s="25"/>
    </row>
    <row r="414" spans="1:3" x14ac:dyDescent="0.3">
      <c r="A414">
        <v>410</v>
      </c>
      <c r="B414" s="25" cm="1">
        <f t="array" ref="B414">loi_canard()</f>
        <v>3</v>
      </c>
      <c r="C414" s="25"/>
    </row>
    <row r="415" spans="1:3" x14ac:dyDescent="0.3">
      <c r="A415">
        <v>411</v>
      </c>
      <c r="B415" s="25" cm="1">
        <f t="array" ref="B415">loi_canard()</f>
        <v>4</v>
      </c>
      <c r="C415" s="25"/>
    </row>
    <row r="416" spans="1:3" x14ac:dyDescent="0.3">
      <c r="A416">
        <v>412</v>
      </c>
      <c r="B416" s="25" cm="1">
        <f t="array" ref="B416">loi_canard()</f>
        <v>2</v>
      </c>
      <c r="C416" s="25"/>
    </row>
    <row r="417" spans="1:3" x14ac:dyDescent="0.3">
      <c r="A417">
        <v>413</v>
      </c>
      <c r="B417" s="25" cm="1">
        <f t="array" ref="B417">loi_canard()</f>
        <v>4</v>
      </c>
      <c r="C417" s="25"/>
    </row>
    <row r="418" spans="1:3" x14ac:dyDescent="0.3">
      <c r="A418">
        <v>414</v>
      </c>
      <c r="B418" s="25" cm="1">
        <f t="array" ref="B418">loi_canard()</f>
        <v>4</v>
      </c>
      <c r="C418" s="25"/>
    </row>
    <row r="419" spans="1:3" x14ac:dyDescent="0.3">
      <c r="A419">
        <v>415</v>
      </c>
      <c r="B419" s="25" cm="1">
        <f t="array" ref="B419">loi_canard()</f>
        <v>4</v>
      </c>
      <c r="C419" s="25"/>
    </row>
    <row r="420" spans="1:3" x14ac:dyDescent="0.3">
      <c r="A420">
        <v>416</v>
      </c>
      <c r="B420" s="25" cm="1">
        <f t="array" ref="B420">loi_canard()</f>
        <v>3</v>
      </c>
      <c r="C420" s="25"/>
    </row>
    <row r="421" spans="1:3" x14ac:dyDescent="0.3">
      <c r="A421">
        <v>417</v>
      </c>
      <c r="B421" s="25" cm="1">
        <f t="array" ref="B421">loi_canard()</f>
        <v>4</v>
      </c>
      <c r="C421" s="25"/>
    </row>
    <row r="422" spans="1:3" x14ac:dyDescent="0.3">
      <c r="A422">
        <v>418</v>
      </c>
      <c r="B422" s="25" cm="1">
        <f t="array" ref="B422">loi_canard()</f>
        <v>4</v>
      </c>
      <c r="C422" s="25"/>
    </row>
    <row r="423" spans="1:3" x14ac:dyDescent="0.3">
      <c r="A423">
        <v>419</v>
      </c>
      <c r="B423" s="25" cm="1">
        <f t="array" ref="B423">loi_canard()</f>
        <v>3</v>
      </c>
      <c r="C423" s="25"/>
    </row>
    <row r="424" spans="1:3" x14ac:dyDescent="0.3">
      <c r="A424">
        <v>420</v>
      </c>
      <c r="B424" s="25" cm="1">
        <f t="array" ref="B424">loi_canard()</f>
        <v>1</v>
      </c>
      <c r="C424" s="25"/>
    </row>
    <row r="425" spans="1:3" x14ac:dyDescent="0.3">
      <c r="A425">
        <v>421</v>
      </c>
      <c r="B425" s="25" cm="1">
        <f t="array" ref="B425">loi_canard()</f>
        <v>1</v>
      </c>
      <c r="C425" s="25"/>
    </row>
    <row r="426" spans="1:3" x14ac:dyDescent="0.3">
      <c r="A426">
        <v>422</v>
      </c>
      <c r="B426" s="25" cm="1">
        <f t="array" ref="B426">loi_canard()</f>
        <v>3</v>
      </c>
      <c r="C426" s="25"/>
    </row>
    <row r="427" spans="1:3" x14ac:dyDescent="0.3">
      <c r="A427">
        <v>423</v>
      </c>
      <c r="B427" s="25" cm="1">
        <f t="array" ref="B427">loi_canard()</f>
        <v>4</v>
      </c>
      <c r="C427" s="25"/>
    </row>
    <row r="428" spans="1:3" x14ac:dyDescent="0.3">
      <c r="A428">
        <v>424</v>
      </c>
      <c r="B428" s="25" cm="1">
        <f t="array" ref="B428">loi_canard()</f>
        <v>4</v>
      </c>
      <c r="C428" s="25"/>
    </row>
    <row r="429" spans="1:3" x14ac:dyDescent="0.3">
      <c r="A429">
        <v>425</v>
      </c>
      <c r="B429" s="25" cm="1">
        <f t="array" ref="B429">loi_canard()</f>
        <v>5</v>
      </c>
      <c r="C429" s="25"/>
    </row>
    <row r="430" spans="1:3" x14ac:dyDescent="0.3">
      <c r="A430">
        <v>426</v>
      </c>
      <c r="B430" s="25" cm="1">
        <f t="array" ref="B430">loi_canard()</f>
        <v>4</v>
      </c>
      <c r="C430" s="25"/>
    </row>
    <row r="431" spans="1:3" x14ac:dyDescent="0.3">
      <c r="A431">
        <v>427</v>
      </c>
      <c r="B431" s="25" cm="1">
        <f t="array" ref="B431">loi_canard()</f>
        <v>4</v>
      </c>
      <c r="C431" s="25"/>
    </row>
    <row r="432" spans="1:3" x14ac:dyDescent="0.3">
      <c r="A432">
        <v>428</v>
      </c>
      <c r="B432" s="25" cm="1">
        <f t="array" ref="B432">loi_canard()</f>
        <v>3</v>
      </c>
      <c r="C432" s="25"/>
    </row>
    <row r="433" spans="1:3" x14ac:dyDescent="0.3">
      <c r="A433">
        <v>429</v>
      </c>
      <c r="B433" s="25" cm="1">
        <f t="array" ref="B433">loi_canard()</f>
        <v>4</v>
      </c>
      <c r="C433" s="25"/>
    </row>
    <row r="434" spans="1:3" x14ac:dyDescent="0.3">
      <c r="A434">
        <v>430</v>
      </c>
      <c r="B434" s="25" cm="1">
        <f t="array" ref="B434">loi_canard()</f>
        <v>4</v>
      </c>
      <c r="C434" s="25"/>
    </row>
    <row r="435" spans="1:3" x14ac:dyDescent="0.3">
      <c r="A435">
        <v>431</v>
      </c>
      <c r="B435" s="25" cm="1">
        <f t="array" ref="B435">loi_canard()</f>
        <v>3</v>
      </c>
      <c r="C435" s="25"/>
    </row>
    <row r="436" spans="1:3" x14ac:dyDescent="0.3">
      <c r="A436">
        <v>432</v>
      </c>
      <c r="B436" s="25" cm="1">
        <f t="array" ref="B436">loi_canard()</f>
        <v>5</v>
      </c>
      <c r="C436" s="25"/>
    </row>
    <row r="437" spans="1:3" x14ac:dyDescent="0.3">
      <c r="A437">
        <v>433</v>
      </c>
      <c r="B437" s="25" cm="1">
        <f t="array" ref="B437">loi_canard()</f>
        <v>3</v>
      </c>
      <c r="C437" s="25"/>
    </row>
    <row r="438" spans="1:3" x14ac:dyDescent="0.3">
      <c r="A438">
        <v>434</v>
      </c>
      <c r="B438" s="25" cm="1">
        <f t="array" ref="B438">loi_canard()</f>
        <v>4</v>
      </c>
      <c r="C438" s="25"/>
    </row>
    <row r="439" spans="1:3" x14ac:dyDescent="0.3">
      <c r="A439">
        <v>435</v>
      </c>
      <c r="B439" s="25" cm="1">
        <f t="array" ref="B439">loi_canard()</f>
        <v>5</v>
      </c>
      <c r="C439" s="25"/>
    </row>
    <row r="440" spans="1:3" x14ac:dyDescent="0.3">
      <c r="A440">
        <v>436</v>
      </c>
      <c r="B440" s="25" cm="1">
        <f t="array" ref="B440">loi_canard()</f>
        <v>4</v>
      </c>
      <c r="C440" s="25"/>
    </row>
    <row r="441" spans="1:3" x14ac:dyDescent="0.3">
      <c r="A441">
        <v>437</v>
      </c>
      <c r="B441" s="25" cm="1">
        <f t="array" ref="B441">loi_canard()</f>
        <v>5</v>
      </c>
      <c r="C441" s="25"/>
    </row>
    <row r="442" spans="1:3" x14ac:dyDescent="0.3">
      <c r="A442">
        <v>438</v>
      </c>
      <c r="B442" s="25" cm="1">
        <f t="array" ref="B442">loi_canard()</f>
        <v>4</v>
      </c>
      <c r="C442" s="25"/>
    </row>
    <row r="443" spans="1:3" x14ac:dyDescent="0.3">
      <c r="A443">
        <v>439</v>
      </c>
      <c r="B443" s="25" cm="1">
        <f t="array" ref="B443">loi_canard()</f>
        <v>3</v>
      </c>
      <c r="C443" s="25"/>
    </row>
    <row r="444" spans="1:3" x14ac:dyDescent="0.3">
      <c r="A444">
        <v>440</v>
      </c>
      <c r="B444" s="25" cm="1">
        <f t="array" ref="B444">loi_canard()</f>
        <v>4</v>
      </c>
      <c r="C444" s="25"/>
    </row>
    <row r="445" spans="1:3" x14ac:dyDescent="0.3">
      <c r="A445">
        <v>441</v>
      </c>
      <c r="B445" s="25" cm="1">
        <f t="array" ref="B445">loi_canard()</f>
        <v>4</v>
      </c>
      <c r="C445" s="25"/>
    </row>
    <row r="446" spans="1:3" x14ac:dyDescent="0.3">
      <c r="A446">
        <v>442</v>
      </c>
      <c r="B446" s="25" cm="1">
        <f t="array" ref="B446">loi_canard()</f>
        <v>3</v>
      </c>
      <c r="C446" s="25"/>
    </row>
    <row r="447" spans="1:3" x14ac:dyDescent="0.3">
      <c r="A447">
        <v>443</v>
      </c>
      <c r="B447" s="25" cm="1">
        <f t="array" ref="B447">loi_canard()</f>
        <v>3</v>
      </c>
      <c r="C447" s="25"/>
    </row>
    <row r="448" spans="1:3" x14ac:dyDescent="0.3">
      <c r="A448">
        <v>444</v>
      </c>
      <c r="B448" s="25" cm="1">
        <f t="array" ref="B448">loi_canard()</f>
        <v>2</v>
      </c>
      <c r="C448" s="25"/>
    </row>
    <row r="449" spans="1:3" x14ac:dyDescent="0.3">
      <c r="A449">
        <v>445</v>
      </c>
      <c r="B449" s="25" cm="1">
        <f t="array" ref="B449">loi_canard()</f>
        <v>3</v>
      </c>
      <c r="C449" s="25"/>
    </row>
    <row r="450" spans="1:3" x14ac:dyDescent="0.3">
      <c r="A450">
        <v>446</v>
      </c>
      <c r="B450" s="25" cm="1">
        <f t="array" ref="B450">loi_canard()</f>
        <v>4</v>
      </c>
      <c r="C450" s="25"/>
    </row>
    <row r="451" spans="1:3" x14ac:dyDescent="0.3">
      <c r="A451">
        <v>447</v>
      </c>
      <c r="B451" s="25" cm="1">
        <f t="array" ref="B451">loi_canard()</f>
        <v>5</v>
      </c>
      <c r="C451" s="25"/>
    </row>
    <row r="452" spans="1:3" x14ac:dyDescent="0.3">
      <c r="A452">
        <v>448</v>
      </c>
      <c r="B452" s="25" cm="1">
        <f t="array" ref="B452">loi_canard()</f>
        <v>3</v>
      </c>
      <c r="C452" s="25"/>
    </row>
    <row r="453" spans="1:3" x14ac:dyDescent="0.3">
      <c r="A453">
        <v>449</v>
      </c>
      <c r="B453" s="25" cm="1">
        <f t="array" ref="B453">loi_canard()</f>
        <v>4</v>
      </c>
      <c r="C453" s="25"/>
    </row>
    <row r="454" spans="1:3" x14ac:dyDescent="0.3">
      <c r="A454">
        <v>450</v>
      </c>
      <c r="B454" s="25" cm="1">
        <f t="array" ref="B454">loi_canard()</f>
        <v>2</v>
      </c>
      <c r="C454" s="25"/>
    </row>
    <row r="455" spans="1:3" x14ac:dyDescent="0.3">
      <c r="A455">
        <v>451</v>
      </c>
      <c r="B455" s="25" cm="1">
        <f t="array" ref="B455">loi_canard()</f>
        <v>4</v>
      </c>
      <c r="C455" s="25"/>
    </row>
    <row r="456" spans="1:3" x14ac:dyDescent="0.3">
      <c r="A456">
        <v>452</v>
      </c>
      <c r="B456" s="25" cm="1">
        <f t="array" ref="B456">loi_canard()</f>
        <v>4</v>
      </c>
      <c r="C456" s="25"/>
    </row>
    <row r="457" spans="1:3" x14ac:dyDescent="0.3">
      <c r="A457">
        <v>453</v>
      </c>
      <c r="B457" s="25" cm="1">
        <f t="array" ref="B457">loi_canard()</f>
        <v>2</v>
      </c>
      <c r="C457" s="25"/>
    </row>
    <row r="458" spans="1:3" x14ac:dyDescent="0.3">
      <c r="A458">
        <v>454</v>
      </c>
      <c r="B458" s="25" cm="1">
        <f t="array" ref="B458">loi_canard()</f>
        <v>4</v>
      </c>
      <c r="C458" s="25"/>
    </row>
    <row r="459" spans="1:3" x14ac:dyDescent="0.3">
      <c r="A459">
        <v>455</v>
      </c>
      <c r="B459" s="25" cm="1">
        <f t="array" ref="B459">loi_canard()</f>
        <v>3</v>
      </c>
      <c r="C459" s="25"/>
    </row>
    <row r="460" spans="1:3" x14ac:dyDescent="0.3">
      <c r="A460">
        <v>456</v>
      </c>
      <c r="B460" s="25" cm="1">
        <f t="array" ref="B460">loi_canard()</f>
        <v>2</v>
      </c>
      <c r="C460" s="25"/>
    </row>
    <row r="461" spans="1:3" x14ac:dyDescent="0.3">
      <c r="A461">
        <v>457</v>
      </c>
      <c r="B461" s="25" cm="1">
        <f t="array" ref="B461">loi_canard()</f>
        <v>3</v>
      </c>
      <c r="C461" s="25"/>
    </row>
    <row r="462" spans="1:3" x14ac:dyDescent="0.3">
      <c r="A462">
        <v>458</v>
      </c>
      <c r="B462" s="25" cm="1">
        <f t="array" ref="B462">loi_canard()</f>
        <v>5</v>
      </c>
      <c r="C462" s="25"/>
    </row>
    <row r="463" spans="1:3" x14ac:dyDescent="0.3">
      <c r="A463">
        <v>459</v>
      </c>
      <c r="B463" s="25" cm="1">
        <f t="array" ref="B463">loi_canard()</f>
        <v>3</v>
      </c>
      <c r="C463" s="25"/>
    </row>
    <row r="464" spans="1:3" x14ac:dyDescent="0.3">
      <c r="A464">
        <v>460</v>
      </c>
      <c r="B464" s="25" cm="1">
        <f t="array" ref="B464">loi_canard()</f>
        <v>1</v>
      </c>
      <c r="C464" s="25"/>
    </row>
    <row r="465" spans="1:3" x14ac:dyDescent="0.3">
      <c r="A465">
        <v>461</v>
      </c>
      <c r="B465" s="25" cm="1">
        <f t="array" ref="B465">loi_canard()</f>
        <v>3</v>
      </c>
      <c r="C465" s="25"/>
    </row>
    <row r="466" spans="1:3" x14ac:dyDescent="0.3">
      <c r="A466">
        <v>462</v>
      </c>
      <c r="B466" s="25" cm="1">
        <f t="array" ref="B466">loi_canard()</f>
        <v>3</v>
      </c>
      <c r="C466" s="25"/>
    </row>
    <row r="467" spans="1:3" x14ac:dyDescent="0.3">
      <c r="A467">
        <v>463</v>
      </c>
      <c r="B467" s="25" cm="1">
        <f t="array" ref="B467">loi_canard()</f>
        <v>4</v>
      </c>
      <c r="C467" s="25"/>
    </row>
    <row r="468" spans="1:3" x14ac:dyDescent="0.3">
      <c r="A468">
        <v>464</v>
      </c>
      <c r="B468" s="25" cm="1">
        <f t="array" ref="B468">loi_canard()</f>
        <v>3</v>
      </c>
      <c r="C468" s="25"/>
    </row>
    <row r="469" spans="1:3" x14ac:dyDescent="0.3">
      <c r="A469">
        <v>465</v>
      </c>
      <c r="B469" s="25" cm="1">
        <f t="array" ref="B469">loi_canard()</f>
        <v>4</v>
      </c>
      <c r="C469" s="25"/>
    </row>
    <row r="470" spans="1:3" x14ac:dyDescent="0.3">
      <c r="A470">
        <v>466</v>
      </c>
      <c r="B470" s="25" cm="1">
        <f t="array" ref="B470">loi_canard()</f>
        <v>2</v>
      </c>
      <c r="C470" s="25"/>
    </row>
    <row r="471" spans="1:3" x14ac:dyDescent="0.3">
      <c r="A471">
        <v>467</v>
      </c>
      <c r="B471" s="25" cm="1">
        <f t="array" ref="B471">loi_canard()</f>
        <v>5</v>
      </c>
      <c r="C471" s="25"/>
    </row>
    <row r="472" spans="1:3" x14ac:dyDescent="0.3">
      <c r="A472">
        <v>468</v>
      </c>
      <c r="B472" s="25" cm="1">
        <f t="array" ref="B472">loi_canard()</f>
        <v>4</v>
      </c>
      <c r="C472" s="25"/>
    </row>
    <row r="473" spans="1:3" x14ac:dyDescent="0.3">
      <c r="A473">
        <v>469</v>
      </c>
      <c r="B473" s="25" cm="1">
        <f t="array" ref="B473">loi_canard()</f>
        <v>4</v>
      </c>
      <c r="C473" s="25"/>
    </row>
    <row r="474" spans="1:3" x14ac:dyDescent="0.3">
      <c r="A474">
        <v>470</v>
      </c>
      <c r="B474" s="25" cm="1">
        <f t="array" ref="B474">loi_canard()</f>
        <v>5</v>
      </c>
      <c r="C474" s="25"/>
    </row>
    <row r="475" spans="1:3" x14ac:dyDescent="0.3">
      <c r="A475">
        <v>471</v>
      </c>
      <c r="B475" s="25" cm="1">
        <f t="array" ref="B475">loi_canard()</f>
        <v>4</v>
      </c>
      <c r="C475" s="25"/>
    </row>
    <row r="476" spans="1:3" x14ac:dyDescent="0.3">
      <c r="A476">
        <v>472</v>
      </c>
      <c r="B476" s="25" cm="1">
        <f t="array" ref="B476">loi_canard()</f>
        <v>2</v>
      </c>
      <c r="C476" s="25"/>
    </row>
    <row r="477" spans="1:3" x14ac:dyDescent="0.3">
      <c r="A477">
        <v>473</v>
      </c>
      <c r="B477" s="25" cm="1">
        <f t="array" ref="B477">loi_canard()</f>
        <v>5</v>
      </c>
      <c r="C477" s="25"/>
    </row>
    <row r="478" spans="1:3" x14ac:dyDescent="0.3">
      <c r="A478">
        <v>474</v>
      </c>
      <c r="B478" s="25" cm="1">
        <f t="array" ref="B478">loi_canard()</f>
        <v>2</v>
      </c>
      <c r="C478" s="25"/>
    </row>
    <row r="479" spans="1:3" x14ac:dyDescent="0.3">
      <c r="A479">
        <v>475</v>
      </c>
      <c r="B479" s="25" cm="1">
        <f t="array" ref="B479">loi_canard()</f>
        <v>2</v>
      </c>
      <c r="C479" s="25"/>
    </row>
    <row r="480" spans="1:3" x14ac:dyDescent="0.3">
      <c r="A480">
        <v>476</v>
      </c>
      <c r="B480" s="25" cm="1">
        <f t="array" ref="B480">loi_canard()</f>
        <v>3</v>
      </c>
      <c r="C480" s="25"/>
    </row>
    <row r="481" spans="1:3" x14ac:dyDescent="0.3">
      <c r="A481">
        <v>477</v>
      </c>
      <c r="B481" s="25" cm="1">
        <f t="array" ref="B481">loi_canard()</f>
        <v>5</v>
      </c>
      <c r="C481" s="25"/>
    </row>
    <row r="482" spans="1:3" x14ac:dyDescent="0.3">
      <c r="A482">
        <v>478</v>
      </c>
      <c r="B482" s="25" cm="1">
        <f t="array" ref="B482">loi_canard()</f>
        <v>4</v>
      </c>
      <c r="C482" s="25"/>
    </row>
    <row r="483" spans="1:3" x14ac:dyDescent="0.3">
      <c r="A483">
        <v>479</v>
      </c>
      <c r="B483" s="25" cm="1">
        <f t="array" ref="B483">loi_canard()</f>
        <v>3</v>
      </c>
      <c r="C483" s="25"/>
    </row>
    <row r="484" spans="1:3" x14ac:dyDescent="0.3">
      <c r="A484">
        <v>480</v>
      </c>
      <c r="B484" s="25" cm="1">
        <f t="array" ref="B484">loi_canard()</f>
        <v>4</v>
      </c>
      <c r="C484" s="25"/>
    </row>
    <row r="485" spans="1:3" x14ac:dyDescent="0.3">
      <c r="A485">
        <v>481</v>
      </c>
      <c r="B485" s="25" cm="1">
        <f t="array" ref="B485">loi_canard()</f>
        <v>4</v>
      </c>
      <c r="C485" s="25"/>
    </row>
    <row r="486" spans="1:3" x14ac:dyDescent="0.3">
      <c r="A486">
        <v>482</v>
      </c>
      <c r="B486" s="25" cm="1">
        <f t="array" ref="B486">loi_canard()</f>
        <v>2</v>
      </c>
      <c r="C486" s="25"/>
    </row>
    <row r="487" spans="1:3" x14ac:dyDescent="0.3">
      <c r="A487">
        <v>483</v>
      </c>
      <c r="B487" s="25" cm="1">
        <f t="array" ref="B487">loi_canard()</f>
        <v>3</v>
      </c>
      <c r="C487" s="25"/>
    </row>
    <row r="488" spans="1:3" x14ac:dyDescent="0.3">
      <c r="A488">
        <v>484</v>
      </c>
      <c r="B488" s="25" cm="1">
        <f t="array" ref="B488">loi_canard()</f>
        <v>4</v>
      </c>
      <c r="C488" s="25"/>
    </row>
    <row r="489" spans="1:3" x14ac:dyDescent="0.3">
      <c r="A489">
        <v>485</v>
      </c>
      <c r="B489" s="25" cm="1">
        <f t="array" ref="B489">loi_canard()</f>
        <v>3</v>
      </c>
      <c r="C489" s="25"/>
    </row>
    <row r="490" spans="1:3" x14ac:dyDescent="0.3">
      <c r="A490">
        <v>486</v>
      </c>
      <c r="B490" s="25" cm="1">
        <f t="array" ref="B490">loi_canard()</f>
        <v>5</v>
      </c>
      <c r="C490" s="25"/>
    </row>
    <row r="491" spans="1:3" x14ac:dyDescent="0.3">
      <c r="A491">
        <v>487</v>
      </c>
      <c r="B491" s="25" cm="1">
        <f t="array" ref="B491">loi_canard()</f>
        <v>2</v>
      </c>
      <c r="C491" s="25"/>
    </row>
    <row r="492" spans="1:3" x14ac:dyDescent="0.3">
      <c r="A492">
        <v>488</v>
      </c>
      <c r="B492" s="25" cm="1">
        <f t="array" ref="B492">loi_canard()</f>
        <v>2</v>
      </c>
      <c r="C492" s="25"/>
    </row>
    <row r="493" spans="1:3" x14ac:dyDescent="0.3">
      <c r="A493">
        <v>489</v>
      </c>
      <c r="B493" s="25" cm="1">
        <f t="array" ref="B493">loi_canard()</f>
        <v>4</v>
      </c>
      <c r="C493" s="25"/>
    </row>
    <row r="494" spans="1:3" x14ac:dyDescent="0.3">
      <c r="A494">
        <v>490</v>
      </c>
      <c r="B494" s="25" cm="1">
        <f t="array" ref="B494">loi_canard()</f>
        <v>4</v>
      </c>
      <c r="C494" s="25"/>
    </row>
    <row r="495" spans="1:3" x14ac:dyDescent="0.3">
      <c r="A495">
        <v>491</v>
      </c>
      <c r="B495" s="25" cm="1">
        <f t="array" ref="B495">loi_canard()</f>
        <v>3</v>
      </c>
      <c r="C495" s="25"/>
    </row>
    <row r="496" spans="1:3" x14ac:dyDescent="0.3">
      <c r="A496">
        <v>492</v>
      </c>
      <c r="B496" s="25" cm="1">
        <f t="array" ref="B496">loi_canard()</f>
        <v>4</v>
      </c>
      <c r="C496" s="25"/>
    </row>
    <row r="497" spans="1:3" x14ac:dyDescent="0.3">
      <c r="A497">
        <v>493</v>
      </c>
      <c r="B497" s="25" cm="1">
        <f t="array" ref="B497">loi_canard()</f>
        <v>3</v>
      </c>
      <c r="C497" s="25"/>
    </row>
    <row r="498" spans="1:3" x14ac:dyDescent="0.3">
      <c r="A498">
        <v>494</v>
      </c>
      <c r="B498" s="25" cm="1">
        <f t="array" ref="B498">loi_canard()</f>
        <v>3</v>
      </c>
      <c r="C498" s="25"/>
    </row>
    <row r="499" spans="1:3" x14ac:dyDescent="0.3">
      <c r="A499">
        <v>495</v>
      </c>
      <c r="B499" s="25" cm="1">
        <f t="array" ref="B499">loi_canard()</f>
        <v>6</v>
      </c>
      <c r="C499" s="25"/>
    </row>
    <row r="500" spans="1:3" x14ac:dyDescent="0.3">
      <c r="A500">
        <v>496</v>
      </c>
      <c r="B500" s="25" cm="1">
        <f t="array" ref="B500">loi_canard()</f>
        <v>2</v>
      </c>
      <c r="C500" s="25"/>
    </row>
    <row r="501" spans="1:3" x14ac:dyDescent="0.3">
      <c r="A501">
        <v>497</v>
      </c>
      <c r="B501" s="25" cm="1">
        <f t="array" ref="B501">loi_canard()</f>
        <v>3</v>
      </c>
      <c r="C501" s="25"/>
    </row>
    <row r="502" spans="1:3" x14ac:dyDescent="0.3">
      <c r="A502">
        <v>498</v>
      </c>
      <c r="B502" s="25" cm="1">
        <f t="array" ref="B502">loi_canard()</f>
        <v>4</v>
      </c>
      <c r="C502" s="25"/>
    </row>
    <row r="503" spans="1:3" x14ac:dyDescent="0.3">
      <c r="A503">
        <v>499</v>
      </c>
      <c r="B503" s="25" cm="1">
        <f t="array" ref="B503">loi_canard()</f>
        <v>4</v>
      </c>
      <c r="C503" s="25"/>
    </row>
    <row r="504" spans="1:3" x14ac:dyDescent="0.3">
      <c r="A504">
        <v>500</v>
      </c>
      <c r="B504" s="25" cm="1">
        <f t="array" ref="B504">loi_canard()</f>
        <v>5</v>
      </c>
      <c r="C504" s="25"/>
    </row>
    <row r="505" spans="1:3" x14ac:dyDescent="0.3">
      <c r="A505">
        <v>501</v>
      </c>
      <c r="B505" s="25" cm="1">
        <f t="array" ref="B505">loi_canard()</f>
        <v>2</v>
      </c>
      <c r="C505" s="25"/>
    </row>
    <row r="506" spans="1:3" x14ac:dyDescent="0.3">
      <c r="A506">
        <v>502</v>
      </c>
      <c r="B506" s="25" cm="1">
        <f t="array" ref="B506">loi_canard()</f>
        <v>4</v>
      </c>
      <c r="C506" s="25"/>
    </row>
    <row r="507" spans="1:3" x14ac:dyDescent="0.3">
      <c r="A507">
        <v>503</v>
      </c>
      <c r="B507" s="25" cm="1">
        <f t="array" ref="B507">loi_canard()</f>
        <v>3</v>
      </c>
      <c r="C507" s="25"/>
    </row>
    <row r="508" spans="1:3" x14ac:dyDescent="0.3">
      <c r="A508">
        <v>504</v>
      </c>
      <c r="B508" s="25" cm="1">
        <f t="array" ref="B508">loi_canard()</f>
        <v>5</v>
      </c>
      <c r="C508" s="25"/>
    </row>
    <row r="509" spans="1:3" x14ac:dyDescent="0.3">
      <c r="A509">
        <v>505</v>
      </c>
      <c r="B509" s="25" cm="1">
        <f t="array" ref="B509">loi_canard()</f>
        <v>4</v>
      </c>
      <c r="C509" s="25"/>
    </row>
    <row r="510" spans="1:3" x14ac:dyDescent="0.3">
      <c r="A510">
        <v>506</v>
      </c>
      <c r="B510" s="25" cm="1">
        <f t="array" ref="B510">loi_canard()</f>
        <v>4</v>
      </c>
      <c r="C510" s="25"/>
    </row>
    <row r="511" spans="1:3" x14ac:dyDescent="0.3">
      <c r="A511">
        <v>507</v>
      </c>
      <c r="B511" s="25" cm="1">
        <f t="array" ref="B511">loi_canard()</f>
        <v>4</v>
      </c>
      <c r="C511" s="25"/>
    </row>
    <row r="512" spans="1:3" x14ac:dyDescent="0.3">
      <c r="A512">
        <v>508</v>
      </c>
      <c r="B512" s="25" cm="1">
        <f t="array" ref="B512">loi_canard()</f>
        <v>3</v>
      </c>
      <c r="C512" s="25"/>
    </row>
    <row r="513" spans="1:3" x14ac:dyDescent="0.3">
      <c r="A513">
        <v>509</v>
      </c>
      <c r="B513" s="25" cm="1">
        <f t="array" ref="B513">loi_canard()</f>
        <v>4</v>
      </c>
      <c r="C513" s="25"/>
    </row>
    <row r="514" spans="1:3" x14ac:dyDescent="0.3">
      <c r="A514">
        <v>510</v>
      </c>
      <c r="B514" s="25" cm="1">
        <f t="array" ref="B514">loi_canard()</f>
        <v>6</v>
      </c>
      <c r="C514" s="25"/>
    </row>
    <row r="515" spans="1:3" x14ac:dyDescent="0.3">
      <c r="A515">
        <v>511</v>
      </c>
      <c r="B515" s="25" cm="1">
        <f t="array" ref="B515">loi_canard()</f>
        <v>4</v>
      </c>
      <c r="C515" s="25"/>
    </row>
    <row r="516" spans="1:3" x14ac:dyDescent="0.3">
      <c r="A516">
        <v>512</v>
      </c>
      <c r="B516" s="25" cm="1">
        <f t="array" ref="B516">loi_canard()</f>
        <v>2</v>
      </c>
      <c r="C516" s="25"/>
    </row>
    <row r="517" spans="1:3" x14ac:dyDescent="0.3">
      <c r="A517">
        <v>513</v>
      </c>
      <c r="B517" s="25" cm="1">
        <f t="array" ref="B517">loi_canard()</f>
        <v>4</v>
      </c>
      <c r="C517" s="25"/>
    </row>
    <row r="518" spans="1:3" x14ac:dyDescent="0.3">
      <c r="A518">
        <v>514</v>
      </c>
      <c r="B518" s="25" cm="1">
        <f t="array" ref="B518">loi_canard()</f>
        <v>5</v>
      </c>
      <c r="C518" s="25"/>
    </row>
    <row r="519" spans="1:3" x14ac:dyDescent="0.3">
      <c r="A519">
        <v>515</v>
      </c>
      <c r="B519" s="25" cm="1">
        <f t="array" ref="B519">loi_canard()</f>
        <v>6</v>
      </c>
      <c r="C519" s="25"/>
    </row>
    <row r="520" spans="1:3" x14ac:dyDescent="0.3">
      <c r="A520">
        <v>516</v>
      </c>
      <c r="B520" s="25" cm="1">
        <f t="array" ref="B520">loi_canard()</f>
        <v>5</v>
      </c>
      <c r="C520" s="25"/>
    </row>
    <row r="521" spans="1:3" x14ac:dyDescent="0.3">
      <c r="A521">
        <v>517</v>
      </c>
      <c r="B521" s="25" cm="1">
        <f t="array" ref="B521">loi_canard()</f>
        <v>2</v>
      </c>
      <c r="C521" s="25"/>
    </row>
    <row r="522" spans="1:3" x14ac:dyDescent="0.3">
      <c r="A522">
        <v>518</v>
      </c>
      <c r="B522" s="25" cm="1">
        <f t="array" ref="B522">loi_canard()</f>
        <v>5</v>
      </c>
      <c r="C522" s="25"/>
    </row>
    <row r="523" spans="1:3" x14ac:dyDescent="0.3">
      <c r="A523">
        <v>519</v>
      </c>
      <c r="B523" s="25" cm="1">
        <f t="array" ref="B523">loi_canard()</f>
        <v>5</v>
      </c>
      <c r="C523" s="25"/>
    </row>
    <row r="524" spans="1:3" x14ac:dyDescent="0.3">
      <c r="A524">
        <v>520</v>
      </c>
      <c r="B524" s="25" cm="1">
        <f t="array" ref="B524">loi_canard()</f>
        <v>2</v>
      </c>
      <c r="C524" s="25"/>
    </row>
    <row r="525" spans="1:3" x14ac:dyDescent="0.3">
      <c r="A525">
        <v>521</v>
      </c>
      <c r="B525" s="25" cm="1">
        <f t="array" ref="B525">loi_canard()</f>
        <v>3</v>
      </c>
      <c r="C525" s="25"/>
    </row>
    <row r="526" spans="1:3" x14ac:dyDescent="0.3">
      <c r="A526">
        <v>522</v>
      </c>
      <c r="B526" s="25" cm="1">
        <f t="array" ref="B526">loi_canard()</f>
        <v>3</v>
      </c>
      <c r="C526" s="25"/>
    </row>
    <row r="527" spans="1:3" x14ac:dyDescent="0.3">
      <c r="A527">
        <v>523</v>
      </c>
      <c r="B527" s="25" cm="1">
        <f t="array" ref="B527">loi_canard()</f>
        <v>3</v>
      </c>
      <c r="C527" s="25"/>
    </row>
    <row r="528" spans="1:3" x14ac:dyDescent="0.3">
      <c r="A528">
        <v>524</v>
      </c>
      <c r="B528" s="25" cm="1">
        <f t="array" ref="B528">loi_canard()</f>
        <v>3</v>
      </c>
      <c r="C528" s="25"/>
    </row>
    <row r="529" spans="1:3" x14ac:dyDescent="0.3">
      <c r="A529">
        <v>525</v>
      </c>
      <c r="B529" s="25" cm="1">
        <f t="array" ref="B529">loi_canard()</f>
        <v>4</v>
      </c>
      <c r="C529" s="25"/>
    </row>
    <row r="530" spans="1:3" x14ac:dyDescent="0.3">
      <c r="A530">
        <v>526</v>
      </c>
      <c r="B530" s="25" cm="1">
        <f t="array" ref="B530">loi_canard()</f>
        <v>4</v>
      </c>
      <c r="C530" s="25"/>
    </row>
    <row r="531" spans="1:3" x14ac:dyDescent="0.3">
      <c r="A531">
        <v>527</v>
      </c>
      <c r="B531" s="25" cm="1">
        <f t="array" ref="B531">loi_canard()</f>
        <v>3</v>
      </c>
      <c r="C531" s="25"/>
    </row>
    <row r="532" spans="1:3" x14ac:dyDescent="0.3">
      <c r="A532">
        <v>528</v>
      </c>
      <c r="B532" s="25" cm="1">
        <f t="array" ref="B532">loi_canard()</f>
        <v>4</v>
      </c>
      <c r="C532" s="25"/>
    </row>
    <row r="533" spans="1:3" x14ac:dyDescent="0.3">
      <c r="A533">
        <v>529</v>
      </c>
      <c r="B533" s="25" cm="1">
        <f t="array" ref="B533">loi_canard()</f>
        <v>4</v>
      </c>
      <c r="C533" s="25"/>
    </row>
    <row r="534" spans="1:3" x14ac:dyDescent="0.3">
      <c r="A534">
        <v>530</v>
      </c>
      <c r="B534" s="25" cm="1">
        <f t="array" ref="B534">loi_canard()</f>
        <v>4</v>
      </c>
      <c r="C534" s="25"/>
    </row>
    <row r="535" spans="1:3" x14ac:dyDescent="0.3">
      <c r="A535">
        <v>531</v>
      </c>
      <c r="B535" s="25" cm="1">
        <f t="array" ref="B535">loi_canard()</f>
        <v>4</v>
      </c>
      <c r="C535" s="25"/>
    </row>
    <row r="536" spans="1:3" x14ac:dyDescent="0.3">
      <c r="A536">
        <v>532</v>
      </c>
      <c r="B536" s="25" cm="1">
        <f t="array" ref="B536">loi_canard()</f>
        <v>3</v>
      </c>
      <c r="C536" s="25"/>
    </row>
    <row r="537" spans="1:3" x14ac:dyDescent="0.3">
      <c r="A537">
        <v>533</v>
      </c>
      <c r="B537" s="25" cm="1">
        <f t="array" ref="B537">loi_canard()</f>
        <v>3</v>
      </c>
      <c r="C537" s="25"/>
    </row>
    <row r="538" spans="1:3" x14ac:dyDescent="0.3">
      <c r="A538">
        <v>534</v>
      </c>
      <c r="B538" s="25" cm="1">
        <f t="array" ref="B538">loi_canard()</f>
        <v>4</v>
      </c>
      <c r="C538" s="25"/>
    </row>
    <row r="539" spans="1:3" x14ac:dyDescent="0.3">
      <c r="A539">
        <v>535</v>
      </c>
      <c r="B539" s="25" cm="1">
        <f t="array" ref="B539">loi_canard()</f>
        <v>3</v>
      </c>
      <c r="C539" s="25"/>
    </row>
    <row r="540" spans="1:3" x14ac:dyDescent="0.3">
      <c r="A540">
        <v>536</v>
      </c>
      <c r="B540" s="25" cm="1">
        <f t="array" ref="B540">loi_canard()</f>
        <v>4</v>
      </c>
      <c r="C540" s="25"/>
    </row>
    <row r="541" spans="1:3" x14ac:dyDescent="0.3">
      <c r="A541">
        <v>537</v>
      </c>
      <c r="B541" s="25" cm="1">
        <f t="array" ref="B541">loi_canard()</f>
        <v>3</v>
      </c>
      <c r="C541" s="25"/>
    </row>
    <row r="542" spans="1:3" x14ac:dyDescent="0.3">
      <c r="A542">
        <v>538</v>
      </c>
      <c r="B542" s="25" cm="1">
        <f t="array" ref="B542">loi_canard()</f>
        <v>2</v>
      </c>
      <c r="C542" s="25"/>
    </row>
    <row r="543" spans="1:3" x14ac:dyDescent="0.3">
      <c r="A543">
        <v>539</v>
      </c>
      <c r="B543" s="25" cm="1">
        <f t="array" ref="B543">loi_canard()</f>
        <v>3</v>
      </c>
      <c r="C543" s="25"/>
    </row>
    <row r="544" spans="1:3" x14ac:dyDescent="0.3">
      <c r="A544">
        <v>540</v>
      </c>
      <c r="B544" s="25" cm="1">
        <f t="array" ref="B544">loi_canard()</f>
        <v>3</v>
      </c>
      <c r="C544" s="25"/>
    </row>
    <row r="545" spans="1:3" x14ac:dyDescent="0.3">
      <c r="A545">
        <v>541</v>
      </c>
      <c r="B545" s="25" cm="1">
        <f t="array" ref="B545">loi_canard()</f>
        <v>5</v>
      </c>
      <c r="C545" s="25"/>
    </row>
    <row r="546" spans="1:3" x14ac:dyDescent="0.3">
      <c r="A546">
        <v>542</v>
      </c>
      <c r="B546" s="25" cm="1">
        <f t="array" ref="B546">loi_canard()</f>
        <v>4</v>
      </c>
      <c r="C546" s="25"/>
    </row>
    <row r="547" spans="1:3" x14ac:dyDescent="0.3">
      <c r="A547">
        <v>543</v>
      </c>
      <c r="B547" s="25" cm="1">
        <f t="array" ref="B547">loi_canard()</f>
        <v>2</v>
      </c>
      <c r="C547" s="25"/>
    </row>
    <row r="548" spans="1:3" x14ac:dyDescent="0.3">
      <c r="A548">
        <v>544</v>
      </c>
      <c r="B548" s="25" cm="1">
        <f t="array" ref="B548">loi_canard()</f>
        <v>4</v>
      </c>
      <c r="C548" s="25"/>
    </row>
    <row r="549" spans="1:3" x14ac:dyDescent="0.3">
      <c r="A549">
        <v>545</v>
      </c>
      <c r="B549" s="25" cm="1">
        <f t="array" ref="B549">loi_canard()</f>
        <v>3</v>
      </c>
      <c r="C549" s="25"/>
    </row>
    <row r="550" spans="1:3" x14ac:dyDescent="0.3">
      <c r="A550">
        <v>546</v>
      </c>
      <c r="B550" s="25" cm="1">
        <f t="array" ref="B550">loi_canard()</f>
        <v>3</v>
      </c>
      <c r="C550" s="25"/>
    </row>
    <row r="551" spans="1:3" x14ac:dyDescent="0.3">
      <c r="A551">
        <v>547</v>
      </c>
      <c r="B551" s="25" cm="1">
        <f t="array" ref="B551">loi_canard()</f>
        <v>3</v>
      </c>
      <c r="C551" s="25"/>
    </row>
    <row r="552" spans="1:3" x14ac:dyDescent="0.3">
      <c r="A552">
        <v>548</v>
      </c>
      <c r="B552" s="25" cm="1">
        <f t="array" ref="B552">loi_canard()</f>
        <v>2</v>
      </c>
      <c r="C552" s="25"/>
    </row>
    <row r="553" spans="1:3" x14ac:dyDescent="0.3">
      <c r="A553">
        <v>549</v>
      </c>
      <c r="B553" s="25" cm="1">
        <f t="array" ref="B553">loi_canard()</f>
        <v>3</v>
      </c>
      <c r="C553" s="25"/>
    </row>
    <row r="554" spans="1:3" x14ac:dyDescent="0.3">
      <c r="A554">
        <v>550</v>
      </c>
      <c r="B554" s="25" cm="1">
        <f t="array" ref="B554">loi_canard()</f>
        <v>4</v>
      </c>
      <c r="C554" s="25"/>
    </row>
    <row r="555" spans="1:3" x14ac:dyDescent="0.3">
      <c r="A555">
        <v>551</v>
      </c>
      <c r="B555" s="25" cm="1">
        <f t="array" ref="B555">loi_canard()</f>
        <v>2</v>
      </c>
      <c r="C555" s="25"/>
    </row>
    <row r="556" spans="1:3" x14ac:dyDescent="0.3">
      <c r="A556">
        <v>552</v>
      </c>
      <c r="B556" s="25" cm="1">
        <f t="array" ref="B556">loi_canard()</f>
        <v>4</v>
      </c>
      <c r="C556" s="25"/>
    </row>
    <row r="557" spans="1:3" x14ac:dyDescent="0.3">
      <c r="A557">
        <v>553</v>
      </c>
      <c r="B557" s="25" cm="1">
        <f t="array" ref="B557">loi_canard()</f>
        <v>3</v>
      </c>
      <c r="C557" s="25"/>
    </row>
    <row r="558" spans="1:3" x14ac:dyDescent="0.3">
      <c r="A558">
        <v>554</v>
      </c>
      <c r="B558" s="25" cm="1">
        <f t="array" ref="B558">loi_canard()</f>
        <v>3</v>
      </c>
      <c r="C558" s="25"/>
    </row>
    <row r="559" spans="1:3" x14ac:dyDescent="0.3">
      <c r="A559">
        <v>555</v>
      </c>
      <c r="B559" s="25" cm="1">
        <f t="array" ref="B559">loi_canard()</f>
        <v>4</v>
      </c>
      <c r="C559" s="25"/>
    </row>
    <row r="560" spans="1:3" x14ac:dyDescent="0.3">
      <c r="A560">
        <v>556</v>
      </c>
      <c r="B560" s="25" cm="1">
        <f t="array" ref="B560">loi_canard()</f>
        <v>7</v>
      </c>
      <c r="C560" s="25"/>
    </row>
    <row r="561" spans="1:3" x14ac:dyDescent="0.3">
      <c r="A561">
        <v>557</v>
      </c>
      <c r="B561" s="25" cm="1">
        <f t="array" ref="B561">loi_canard()</f>
        <v>2</v>
      </c>
      <c r="C561" s="25"/>
    </row>
    <row r="562" spans="1:3" x14ac:dyDescent="0.3">
      <c r="A562">
        <v>558</v>
      </c>
      <c r="B562" s="25" cm="1">
        <f t="array" ref="B562">loi_canard()</f>
        <v>4</v>
      </c>
      <c r="C562" s="25"/>
    </row>
    <row r="563" spans="1:3" x14ac:dyDescent="0.3">
      <c r="A563">
        <v>559</v>
      </c>
      <c r="B563" s="25" cm="1">
        <f t="array" ref="B563">loi_canard()</f>
        <v>3</v>
      </c>
      <c r="C563" s="25"/>
    </row>
    <row r="564" spans="1:3" x14ac:dyDescent="0.3">
      <c r="A564">
        <v>560</v>
      </c>
      <c r="B564" s="25" cm="1">
        <f t="array" ref="B564">loi_canard()</f>
        <v>3</v>
      </c>
      <c r="C564" s="25"/>
    </row>
    <row r="565" spans="1:3" x14ac:dyDescent="0.3">
      <c r="A565">
        <v>561</v>
      </c>
      <c r="B565" s="25" cm="1">
        <f t="array" ref="B565">loi_canard()</f>
        <v>5</v>
      </c>
      <c r="C565" s="25"/>
    </row>
    <row r="566" spans="1:3" x14ac:dyDescent="0.3">
      <c r="A566">
        <v>562</v>
      </c>
      <c r="B566" s="25" cm="1">
        <f t="array" ref="B566">loi_canard()</f>
        <v>2</v>
      </c>
      <c r="C566" s="25"/>
    </row>
    <row r="567" spans="1:3" x14ac:dyDescent="0.3">
      <c r="A567">
        <v>563</v>
      </c>
      <c r="B567" s="25" cm="1">
        <f t="array" ref="B567">loi_canard()</f>
        <v>4</v>
      </c>
      <c r="C567" s="25"/>
    </row>
    <row r="568" spans="1:3" x14ac:dyDescent="0.3">
      <c r="A568">
        <v>564</v>
      </c>
      <c r="B568" s="25" cm="1">
        <f t="array" ref="B568">loi_canard()</f>
        <v>4</v>
      </c>
      <c r="C568" s="25"/>
    </row>
    <row r="569" spans="1:3" x14ac:dyDescent="0.3">
      <c r="A569">
        <v>565</v>
      </c>
      <c r="B569" s="25" cm="1">
        <f t="array" ref="B569">loi_canard()</f>
        <v>3</v>
      </c>
      <c r="C569" s="25"/>
    </row>
    <row r="570" spans="1:3" x14ac:dyDescent="0.3">
      <c r="A570">
        <v>566</v>
      </c>
      <c r="B570" s="25" cm="1">
        <f t="array" ref="B570">loi_canard()</f>
        <v>3</v>
      </c>
      <c r="C570" s="25"/>
    </row>
    <row r="571" spans="1:3" x14ac:dyDescent="0.3">
      <c r="A571">
        <v>567</v>
      </c>
      <c r="B571" s="25" cm="1">
        <f t="array" ref="B571">loi_canard()</f>
        <v>3</v>
      </c>
      <c r="C571" s="25"/>
    </row>
    <row r="572" spans="1:3" x14ac:dyDescent="0.3">
      <c r="A572">
        <v>568</v>
      </c>
      <c r="B572" s="25" cm="1">
        <f t="array" ref="B572">loi_canard()</f>
        <v>3</v>
      </c>
      <c r="C572" s="25"/>
    </row>
    <row r="573" spans="1:3" x14ac:dyDescent="0.3">
      <c r="A573">
        <v>569</v>
      </c>
      <c r="B573" s="25" cm="1">
        <f t="array" ref="B573">loi_canard()</f>
        <v>3</v>
      </c>
      <c r="C573" s="25"/>
    </row>
    <row r="574" spans="1:3" x14ac:dyDescent="0.3">
      <c r="A574">
        <v>570</v>
      </c>
      <c r="B574" s="25" cm="1">
        <f t="array" ref="B574">loi_canard()</f>
        <v>5</v>
      </c>
      <c r="C574" s="25"/>
    </row>
    <row r="575" spans="1:3" x14ac:dyDescent="0.3">
      <c r="A575">
        <v>571</v>
      </c>
      <c r="B575" s="25" cm="1">
        <f t="array" ref="B575">loi_canard()</f>
        <v>3</v>
      </c>
      <c r="C575" s="25"/>
    </row>
    <row r="576" spans="1:3" x14ac:dyDescent="0.3">
      <c r="A576">
        <v>572</v>
      </c>
      <c r="B576" s="25" cm="1">
        <f t="array" ref="B576">loi_canard()</f>
        <v>3</v>
      </c>
      <c r="C576" s="25"/>
    </row>
    <row r="577" spans="1:3" x14ac:dyDescent="0.3">
      <c r="A577">
        <v>573</v>
      </c>
      <c r="B577" s="25" cm="1">
        <f t="array" ref="B577">loi_canard()</f>
        <v>4</v>
      </c>
      <c r="C577" s="25"/>
    </row>
    <row r="578" spans="1:3" x14ac:dyDescent="0.3">
      <c r="A578">
        <v>574</v>
      </c>
      <c r="B578" s="25" cm="1">
        <f t="array" ref="B578">loi_canard()</f>
        <v>5</v>
      </c>
      <c r="C578" s="25"/>
    </row>
    <row r="579" spans="1:3" x14ac:dyDescent="0.3">
      <c r="A579">
        <v>575</v>
      </c>
      <c r="B579" s="25" cm="1">
        <f t="array" ref="B579">loi_canard()</f>
        <v>4</v>
      </c>
      <c r="C579" s="25"/>
    </row>
    <row r="580" spans="1:3" x14ac:dyDescent="0.3">
      <c r="A580">
        <v>576</v>
      </c>
      <c r="B580" s="25" cm="1">
        <f t="array" ref="B580">loi_canard()</f>
        <v>1</v>
      </c>
      <c r="C580" s="25"/>
    </row>
    <row r="581" spans="1:3" x14ac:dyDescent="0.3">
      <c r="A581">
        <v>577</v>
      </c>
      <c r="B581" s="25" cm="1">
        <f t="array" ref="B581">loi_canard()</f>
        <v>4</v>
      </c>
      <c r="C581" s="25"/>
    </row>
    <row r="582" spans="1:3" x14ac:dyDescent="0.3">
      <c r="A582">
        <v>578</v>
      </c>
      <c r="B582" s="25" cm="1">
        <f t="array" ref="B582">loi_canard()</f>
        <v>4</v>
      </c>
      <c r="C582" s="25"/>
    </row>
    <row r="583" spans="1:3" x14ac:dyDescent="0.3">
      <c r="A583">
        <v>579</v>
      </c>
      <c r="B583" s="25" cm="1">
        <f t="array" ref="B583">loi_canard()</f>
        <v>4</v>
      </c>
      <c r="C583" s="25"/>
    </row>
    <row r="584" spans="1:3" x14ac:dyDescent="0.3">
      <c r="A584">
        <v>580</v>
      </c>
      <c r="B584" s="25" cm="1">
        <f t="array" ref="B584">loi_canard()</f>
        <v>3</v>
      </c>
      <c r="C584" s="25"/>
    </row>
    <row r="585" spans="1:3" x14ac:dyDescent="0.3">
      <c r="A585">
        <v>581</v>
      </c>
      <c r="B585" s="25" cm="1">
        <f t="array" ref="B585">loi_canard()</f>
        <v>2</v>
      </c>
      <c r="C585" s="25"/>
    </row>
    <row r="586" spans="1:3" x14ac:dyDescent="0.3">
      <c r="A586">
        <v>582</v>
      </c>
      <c r="B586" s="25" cm="1">
        <f t="array" ref="B586">loi_canard()</f>
        <v>4</v>
      </c>
      <c r="C586" s="25"/>
    </row>
    <row r="587" spans="1:3" x14ac:dyDescent="0.3">
      <c r="A587">
        <v>583</v>
      </c>
      <c r="B587" s="25" cm="1">
        <f t="array" ref="B587">loi_canard()</f>
        <v>3</v>
      </c>
      <c r="C587" s="25"/>
    </row>
    <row r="588" spans="1:3" x14ac:dyDescent="0.3">
      <c r="A588">
        <v>584</v>
      </c>
      <c r="B588" s="25" cm="1">
        <f t="array" ref="B588">loi_canard()</f>
        <v>3</v>
      </c>
      <c r="C588" s="25"/>
    </row>
    <row r="589" spans="1:3" x14ac:dyDescent="0.3">
      <c r="A589">
        <v>585</v>
      </c>
      <c r="B589" s="25" cm="1">
        <f t="array" ref="B589">loi_canard()</f>
        <v>2</v>
      </c>
      <c r="C589" s="25"/>
    </row>
    <row r="590" spans="1:3" x14ac:dyDescent="0.3">
      <c r="A590">
        <v>586</v>
      </c>
      <c r="B590" s="25" cm="1">
        <f t="array" ref="B590">loi_canard()</f>
        <v>3</v>
      </c>
      <c r="C590" s="25"/>
    </row>
    <row r="591" spans="1:3" x14ac:dyDescent="0.3">
      <c r="A591">
        <v>587</v>
      </c>
      <c r="B591" s="25" cm="1">
        <f t="array" ref="B591">loi_canard()</f>
        <v>4</v>
      </c>
      <c r="C591" s="25"/>
    </row>
    <row r="592" spans="1:3" x14ac:dyDescent="0.3">
      <c r="A592">
        <v>588</v>
      </c>
      <c r="B592" s="25" cm="1">
        <f t="array" ref="B592">loi_canard()</f>
        <v>4</v>
      </c>
      <c r="C592" s="25"/>
    </row>
    <row r="593" spans="1:3" x14ac:dyDescent="0.3">
      <c r="A593">
        <v>589</v>
      </c>
      <c r="B593" s="25" cm="1">
        <f t="array" ref="B593">loi_canard()</f>
        <v>4</v>
      </c>
      <c r="C593" s="25"/>
    </row>
    <row r="594" spans="1:3" x14ac:dyDescent="0.3">
      <c r="A594">
        <v>590</v>
      </c>
      <c r="B594" s="25" cm="1">
        <f t="array" ref="B594">loi_canard()</f>
        <v>3</v>
      </c>
      <c r="C594" s="25"/>
    </row>
    <row r="595" spans="1:3" x14ac:dyDescent="0.3">
      <c r="A595">
        <v>591</v>
      </c>
      <c r="B595" s="25" cm="1">
        <f t="array" ref="B595">loi_canard()</f>
        <v>3</v>
      </c>
      <c r="C595" s="25"/>
    </row>
    <row r="596" spans="1:3" x14ac:dyDescent="0.3">
      <c r="A596">
        <v>592</v>
      </c>
      <c r="B596" s="25" cm="1">
        <f t="array" ref="B596">loi_canard()</f>
        <v>3</v>
      </c>
      <c r="C596" s="25"/>
    </row>
    <row r="597" spans="1:3" x14ac:dyDescent="0.3">
      <c r="A597">
        <v>593</v>
      </c>
      <c r="B597" s="25" cm="1">
        <f t="array" ref="B597">loi_canard()</f>
        <v>4</v>
      </c>
      <c r="C597" s="25"/>
    </row>
    <row r="598" spans="1:3" x14ac:dyDescent="0.3">
      <c r="A598">
        <v>594</v>
      </c>
      <c r="B598" s="25" cm="1">
        <f t="array" ref="B598">loi_canard()</f>
        <v>4</v>
      </c>
      <c r="C598" s="25"/>
    </row>
    <row r="599" spans="1:3" x14ac:dyDescent="0.3">
      <c r="A599">
        <v>595</v>
      </c>
      <c r="B599" s="25" cm="1">
        <f t="array" ref="B599">loi_canard()</f>
        <v>4</v>
      </c>
      <c r="C599" s="25"/>
    </row>
    <row r="600" spans="1:3" x14ac:dyDescent="0.3">
      <c r="A600">
        <v>596</v>
      </c>
      <c r="B600" s="25" cm="1">
        <f t="array" ref="B600">loi_canard()</f>
        <v>4</v>
      </c>
      <c r="C600" s="25"/>
    </row>
    <row r="601" spans="1:3" x14ac:dyDescent="0.3">
      <c r="A601">
        <v>597</v>
      </c>
      <c r="B601" s="25" cm="1">
        <f t="array" ref="B601">loi_canard()</f>
        <v>3</v>
      </c>
      <c r="C601" s="25"/>
    </row>
    <row r="602" spans="1:3" x14ac:dyDescent="0.3">
      <c r="A602">
        <v>598</v>
      </c>
      <c r="B602" s="25" cm="1">
        <f t="array" ref="B602">loi_canard()</f>
        <v>2</v>
      </c>
      <c r="C602" s="25"/>
    </row>
    <row r="603" spans="1:3" x14ac:dyDescent="0.3">
      <c r="A603">
        <v>599</v>
      </c>
      <c r="B603" s="25" cm="1">
        <f t="array" ref="B603">loi_canard()</f>
        <v>4</v>
      </c>
      <c r="C603" s="25"/>
    </row>
    <row r="604" spans="1:3" x14ac:dyDescent="0.3">
      <c r="A604">
        <v>600</v>
      </c>
      <c r="B604" s="25" cm="1">
        <f t="array" ref="B604">loi_canard()</f>
        <v>2</v>
      </c>
      <c r="C604" s="25"/>
    </row>
    <row r="605" spans="1:3" x14ac:dyDescent="0.3">
      <c r="A605">
        <v>601</v>
      </c>
      <c r="B605" s="25" cm="1">
        <f t="array" ref="B605">loi_canard()</f>
        <v>2</v>
      </c>
      <c r="C605" s="25"/>
    </row>
    <row r="606" spans="1:3" x14ac:dyDescent="0.3">
      <c r="A606">
        <v>602</v>
      </c>
      <c r="B606" s="25" cm="1">
        <f t="array" ref="B606">loi_canard()</f>
        <v>3</v>
      </c>
      <c r="C606" s="25"/>
    </row>
    <row r="607" spans="1:3" x14ac:dyDescent="0.3">
      <c r="A607">
        <v>603</v>
      </c>
      <c r="B607" s="25" cm="1">
        <f t="array" ref="B607">loi_canard()</f>
        <v>4</v>
      </c>
      <c r="C607" s="25"/>
    </row>
    <row r="608" spans="1:3" x14ac:dyDescent="0.3">
      <c r="A608">
        <v>604</v>
      </c>
      <c r="B608" s="25" cm="1">
        <f t="array" ref="B608">loi_canard()</f>
        <v>2</v>
      </c>
      <c r="C608" s="25"/>
    </row>
    <row r="609" spans="1:3" x14ac:dyDescent="0.3">
      <c r="A609">
        <v>605</v>
      </c>
      <c r="B609" s="25" cm="1">
        <f t="array" ref="B609">loi_canard()</f>
        <v>4</v>
      </c>
      <c r="C609" s="25"/>
    </row>
    <row r="610" spans="1:3" x14ac:dyDescent="0.3">
      <c r="A610">
        <v>606</v>
      </c>
      <c r="B610" s="25" cm="1">
        <f t="array" ref="B610">loi_canard()</f>
        <v>5</v>
      </c>
      <c r="C610" s="25"/>
    </row>
    <row r="611" spans="1:3" x14ac:dyDescent="0.3">
      <c r="A611">
        <v>607</v>
      </c>
      <c r="B611" s="25" cm="1">
        <f t="array" ref="B611">loi_canard()</f>
        <v>4</v>
      </c>
      <c r="C611" s="25"/>
    </row>
    <row r="612" spans="1:3" x14ac:dyDescent="0.3">
      <c r="A612">
        <v>608</v>
      </c>
      <c r="B612" s="25" cm="1">
        <f t="array" ref="B612">loi_canard()</f>
        <v>4</v>
      </c>
      <c r="C612" s="25"/>
    </row>
    <row r="613" spans="1:3" x14ac:dyDescent="0.3">
      <c r="A613">
        <v>609</v>
      </c>
      <c r="B613" s="25" cm="1">
        <f t="array" ref="B613">loi_canard()</f>
        <v>4</v>
      </c>
      <c r="C613" s="25"/>
    </row>
    <row r="614" spans="1:3" x14ac:dyDescent="0.3">
      <c r="A614">
        <v>610</v>
      </c>
      <c r="B614" s="25" cm="1">
        <f t="array" ref="B614">loi_canard()</f>
        <v>4</v>
      </c>
      <c r="C614" s="25"/>
    </row>
    <row r="615" spans="1:3" x14ac:dyDescent="0.3">
      <c r="A615">
        <v>611</v>
      </c>
      <c r="B615" s="25" cm="1">
        <f t="array" ref="B615">loi_canard()</f>
        <v>3</v>
      </c>
      <c r="C615" s="25"/>
    </row>
    <row r="616" spans="1:3" x14ac:dyDescent="0.3">
      <c r="A616">
        <v>612</v>
      </c>
      <c r="B616" s="25" cm="1">
        <f t="array" ref="B616">loi_canard()</f>
        <v>3</v>
      </c>
      <c r="C616" s="25"/>
    </row>
    <row r="617" spans="1:3" x14ac:dyDescent="0.3">
      <c r="A617">
        <v>613</v>
      </c>
      <c r="B617" s="25" cm="1">
        <f t="array" ref="B617">loi_canard()</f>
        <v>3</v>
      </c>
      <c r="C617" s="25"/>
    </row>
    <row r="618" spans="1:3" x14ac:dyDescent="0.3">
      <c r="A618">
        <v>614</v>
      </c>
      <c r="B618" s="25" cm="1">
        <f t="array" ref="B618">loi_canard()</f>
        <v>4</v>
      </c>
      <c r="C618" s="25"/>
    </row>
    <row r="619" spans="1:3" x14ac:dyDescent="0.3">
      <c r="A619">
        <v>615</v>
      </c>
      <c r="B619" s="25" cm="1">
        <f t="array" ref="B619">loi_canard()</f>
        <v>2</v>
      </c>
      <c r="C619" s="25"/>
    </row>
    <row r="620" spans="1:3" x14ac:dyDescent="0.3">
      <c r="A620">
        <v>616</v>
      </c>
      <c r="B620" s="25" cm="1">
        <f t="array" ref="B620">loi_canard()</f>
        <v>4</v>
      </c>
      <c r="C620" s="25"/>
    </row>
    <row r="621" spans="1:3" x14ac:dyDescent="0.3">
      <c r="A621">
        <v>617</v>
      </c>
      <c r="B621" s="25" cm="1">
        <f t="array" ref="B621">loi_canard()</f>
        <v>3</v>
      </c>
      <c r="C621" s="25"/>
    </row>
    <row r="622" spans="1:3" x14ac:dyDescent="0.3">
      <c r="A622">
        <v>618</v>
      </c>
      <c r="B622" s="25" cm="1">
        <f t="array" ref="B622">loi_canard()</f>
        <v>4</v>
      </c>
      <c r="C622" s="25"/>
    </row>
    <row r="623" spans="1:3" x14ac:dyDescent="0.3">
      <c r="A623">
        <v>619</v>
      </c>
      <c r="B623" s="25" cm="1">
        <f t="array" ref="B623">loi_canard()</f>
        <v>4</v>
      </c>
      <c r="C623" s="25"/>
    </row>
    <row r="624" spans="1:3" x14ac:dyDescent="0.3">
      <c r="A624">
        <v>620</v>
      </c>
      <c r="B624" s="25" cm="1">
        <f t="array" ref="B624">loi_canard()</f>
        <v>4</v>
      </c>
      <c r="C624" s="25"/>
    </row>
    <row r="625" spans="1:3" x14ac:dyDescent="0.3">
      <c r="A625">
        <v>621</v>
      </c>
      <c r="B625" s="25" cm="1">
        <f t="array" ref="B625">loi_canard()</f>
        <v>2</v>
      </c>
      <c r="C625" s="25"/>
    </row>
    <row r="626" spans="1:3" x14ac:dyDescent="0.3">
      <c r="A626">
        <v>622</v>
      </c>
      <c r="B626" s="25" cm="1">
        <f t="array" ref="B626">loi_canard()</f>
        <v>2</v>
      </c>
      <c r="C626" s="25"/>
    </row>
    <row r="627" spans="1:3" x14ac:dyDescent="0.3">
      <c r="A627">
        <v>623</v>
      </c>
      <c r="B627" s="25" cm="1">
        <f t="array" ref="B627">loi_canard()</f>
        <v>3</v>
      </c>
      <c r="C627" s="25"/>
    </row>
    <row r="628" spans="1:3" x14ac:dyDescent="0.3">
      <c r="A628">
        <v>624</v>
      </c>
      <c r="B628" s="25" cm="1">
        <f t="array" ref="B628">loi_canard()</f>
        <v>3</v>
      </c>
      <c r="C628" s="25"/>
    </row>
    <row r="629" spans="1:3" x14ac:dyDescent="0.3">
      <c r="A629">
        <v>625</v>
      </c>
      <c r="B629" s="25" cm="1">
        <f t="array" ref="B629">loi_canard()</f>
        <v>4</v>
      </c>
      <c r="C629" s="25"/>
    </row>
    <row r="630" spans="1:3" x14ac:dyDescent="0.3">
      <c r="A630">
        <v>626</v>
      </c>
      <c r="B630" s="25" cm="1">
        <f t="array" ref="B630">loi_canard()</f>
        <v>3</v>
      </c>
      <c r="C630" s="25"/>
    </row>
    <row r="631" spans="1:3" x14ac:dyDescent="0.3">
      <c r="A631">
        <v>627</v>
      </c>
      <c r="B631" s="25" cm="1">
        <f t="array" ref="B631">loi_canard()</f>
        <v>3</v>
      </c>
      <c r="C631" s="25"/>
    </row>
    <row r="632" spans="1:3" x14ac:dyDescent="0.3">
      <c r="A632">
        <v>628</v>
      </c>
      <c r="B632" s="25" cm="1">
        <f t="array" ref="B632">loi_canard()</f>
        <v>4</v>
      </c>
      <c r="C632" s="25"/>
    </row>
    <row r="633" spans="1:3" x14ac:dyDescent="0.3">
      <c r="A633">
        <v>629</v>
      </c>
      <c r="B633" s="25" cm="1">
        <f t="array" ref="B633">loi_canard()</f>
        <v>2</v>
      </c>
      <c r="C633" s="25"/>
    </row>
    <row r="634" spans="1:3" x14ac:dyDescent="0.3">
      <c r="A634">
        <v>630</v>
      </c>
      <c r="B634" s="25" cm="1">
        <f t="array" ref="B634">loi_canard()</f>
        <v>2</v>
      </c>
      <c r="C634" s="25"/>
    </row>
    <row r="635" spans="1:3" x14ac:dyDescent="0.3">
      <c r="A635">
        <v>631</v>
      </c>
      <c r="B635" s="25" cm="1">
        <f t="array" ref="B635">loi_canard()</f>
        <v>4</v>
      </c>
      <c r="C635" s="25"/>
    </row>
    <row r="636" spans="1:3" x14ac:dyDescent="0.3">
      <c r="A636">
        <v>632</v>
      </c>
      <c r="B636" s="25" cm="1">
        <f t="array" ref="B636">loi_canard()</f>
        <v>5</v>
      </c>
      <c r="C636" s="25"/>
    </row>
    <row r="637" spans="1:3" x14ac:dyDescent="0.3">
      <c r="A637">
        <v>633</v>
      </c>
      <c r="B637" s="25" cm="1">
        <f t="array" ref="B637">loi_canard()</f>
        <v>4</v>
      </c>
      <c r="C637" s="25"/>
    </row>
    <row r="638" spans="1:3" x14ac:dyDescent="0.3">
      <c r="A638">
        <v>634</v>
      </c>
      <c r="B638" s="25" cm="1">
        <f t="array" ref="B638">loi_canard()</f>
        <v>4</v>
      </c>
      <c r="C638" s="25"/>
    </row>
    <row r="639" spans="1:3" x14ac:dyDescent="0.3">
      <c r="A639">
        <v>635</v>
      </c>
      <c r="B639" s="25" cm="1">
        <f t="array" ref="B639">loi_canard()</f>
        <v>3</v>
      </c>
      <c r="C639" s="25"/>
    </row>
    <row r="640" spans="1:3" x14ac:dyDescent="0.3">
      <c r="A640">
        <v>636</v>
      </c>
      <c r="B640" s="25" cm="1">
        <f t="array" ref="B640">loi_canard()</f>
        <v>4</v>
      </c>
      <c r="C640" s="25"/>
    </row>
    <row r="641" spans="1:3" x14ac:dyDescent="0.3">
      <c r="A641">
        <v>637</v>
      </c>
      <c r="B641" s="25" cm="1">
        <f t="array" ref="B641">loi_canard()</f>
        <v>5</v>
      </c>
      <c r="C641" s="25"/>
    </row>
    <row r="642" spans="1:3" x14ac:dyDescent="0.3">
      <c r="A642">
        <v>638</v>
      </c>
      <c r="B642" s="25" cm="1">
        <f t="array" ref="B642">loi_canard()</f>
        <v>2</v>
      </c>
      <c r="C642" s="25"/>
    </row>
    <row r="643" spans="1:3" x14ac:dyDescent="0.3">
      <c r="A643">
        <v>639</v>
      </c>
      <c r="B643" s="25" cm="1">
        <f t="array" ref="B643">loi_canard()</f>
        <v>3</v>
      </c>
      <c r="C643" s="25"/>
    </row>
    <row r="644" spans="1:3" x14ac:dyDescent="0.3">
      <c r="A644">
        <v>640</v>
      </c>
      <c r="B644" s="25" cm="1">
        <f t="array" ref="B644">loi_canard()</f>
        <v>3</v>
      </c>
      <c r="C644" s="25"/>
    </row>
    <row r="645" spans="1:3" x14ac:dyDescent="0.3">
      <c r="A645">
        <v>641</v>
      </c>
      <c r="B645" s="25" cm="1">
        <f t="array" ref="B645">loi_canard()</f>
        <v>2</v>
      </c>
      <c r="C645" s="25"/>
    </row>
    <row r="646" spans="1:3" x14ac:dyDescent="0.3">
      <c r="A646">
        <v>642</v>
      </c>
      <c r="B646" s="25" cm="1">
        <f t="array" ref="B646">loi_canard()</f>
        <v>4</v>
      </c>
      <c r="C646" s="25"/>
    </row>
    <row r="647" spans="1:3" x14ac:dyDescent="0.3">
      <c r="A647">
        <v>643</v>
      </c>
      <c r="B647" s="25" cm="1">
        <f t="array" ref="B647">loi_canard()</f>
        <v>5</v>
      </c>
      <c r="C647" s="25"/>
    </row>
    <row r="648" spans="1:3" x14ac:dyDescent="0.3">
      <c r="A648">
        <v>644</v>
      </c>
      <c r="B648" s="25" cm="1">
        <f t="array" ref="B648">loi_canard()</f>
        <v>3</v>
      </c>
      <c r="C648" s="25"/>
    </row>
    <row r="649" spans="1:3" x14ac:dyDescent="0.3">
      <c r="A649">
        <v>645</v>
      </c>
      <c r="B649" s="25" cm="1">
        <f t="array" ref="B649">loi_canard()</f>
        <v>4</v>
      </c>
      <c r="C649" s="25"/>
    </row>
    <row r="650" spans="1:3" x14ac:dyDescent="0.3">
      <c r="A650">
        <v>646</v>
      </c>
      <c r="B650" s="25" cm="1">
        <f t="array" ref="B650">loi_canard()</f>
        <v>5</v>
      </c>
      <c r="C650" s="25"/>
    </row>
    <row r="651" spans="1:3" x14ac:dyDescent="0.3">
      <c r="A651">
        <v>647</v>
      </c>
      <c r="B651" s="25" cm="1">
        <f t="array" ref="B651">loi_canard()</f>
        <v>4</v>
      </c>
      <c r="C651" s="25"/>
    </row>
    <row r="652" spans="1:3" x14ac:dyDescent="0.3">
      <c r="A652">
        <v>648</v>
      </c>
      <c r="B652" s="25" cm="1">
        <f t="array" ref="B652">loi_canard()</f>
        <v>3</v>
      </c>
      <c r="C652" s="25"/>
    </row>
    <row r="653" spans="1:3" x14ac:dyDescent="0.3">
      <c r="A653">
        <v>649</v>
      </c>
      <c r="B653" s="25" cm="1">
        <f t="array" ref="B653">loi_canard()</f>
        <v>3</v>
      </c>
      <c r="C653" s="25"/>
    </row>
    <row r="654" spans="1:3" x14ac:dyDescent="0.3">
      <c r="A654">
        <v>650</v>
      </c>
      <c r="B654" s="25" cm="1">
        <f t="array" ref="B654">loi_canard()</f>
        <v>4</v>
      </c>
      <c r="C654" s="25"/>
    </row>
    <row r="655" spans="1:3" x14ac:dyDescent="0.3">
      <c r="A655">
        <v>651</v>
      </c>
      <c r="B655" s="25" cm="1">
        <f t="array" ref="B655">loi_canard()</f>
        <v>3</v>
      </c>
      <c r="C655" s="25"/>
    </row>
    <row r="656" spans="1:3" x14ac:dyDescent="0.3">
      <c r="A656">
        <v>652</v>
      </c>
      <c r="B656" s="25" cm="1">
        <f t="array" ref="B656">loi_canard()</f>
        <v>6</v>
      </c>
      <c r="C656" s="25"/>
    </row>
    <row r="657" spans="1:3" x14ac:dyDescent="0.3">
      <c r="A657">
        <v>653</v>
      </c>
      <c r="B657" s="25" cm="1">
        <f t="array" ref="B657">loi_canard()</f>
        <v>4</v>
      </c>
      <c r="C657" s="25"/>
    </row>
    <row r="658" spans="1:3" x14ac:dyDescent="0.3">
      <c r="A658">
        <v>654</v>
      </c>
      <c r="B658" s="25" cm="1">
        <f t="array" ref="B658">loi_canard()</f>
        <v>2</v>
      </c>
      <c r="C658" s="25"/>
    </row>
    <row r="659" spans="1:3" x14ac:dyDescent="0.3">
      <c r="A659">
        <v>655</v>
      </c>
      <c r="B659" s="25" cm="1">
        <f t="array" ref="B659">loi_canard()</f>
        <v>4</v>
      </c>
      <c r="C659" s="25"/>
    </row>
    <row r="660" spans="1:3" x14ac:dyDescent="0.3">
      <c r="A660">
        <v>656</v>
      </c>
      <c r="B660" s="25" cm="1">
        <f t="array" ref="B660">loi_canard()</f>
        <v>2</v>
      </c>
      <c r="C660" s="25"/>
    </row>
    <row r="661" spans="1:3" x14ac:dyDescent="0.3">
      <c r="A661">
        <v>657</v>
      </c>
      <c r="B661" s="25" cm="1">
        <f t="array" ref="B661">loi_canard()</f>
        <v>5</v>
      </c>
      <c r="C661" s="25"/>
    </row>
    <row r="662" spans="1:3" x14ac:dyDescent="0.3">
      <c r="A662">
        <v>658</v>
      </c>
      <c r="B662" s="25" cm="1">
        <f t="array" ref="B662">loi_canard()</f>
        <v>2</v>
      </c>
      <c r="C662" s="25"/>
    </row>
    <row r="663" spans="1:3" x14ac:dyDescent="0.3">
      <c r="A663">
        <v>659</v>
      </c>
      <c r="B663" s="25" cm="1">
        <f t="array" ref="B663">loi_canard()</f>
        <v>4</v>
      </c>
      <c r="C663" s="25"/>
    </row>
    <row r="664" spans="1:3" x14ac:dyDescent="0.3">
      <c r="A664">
        <v>660</v>
      </c>
      <c r="B664" s="25" cm="1">
        <f t="array" ref="B664">loi_canard()</f>
        <v>4</v>
      </c>
      <c r="C664" s="25"/>
    </row>
    <row r="665" spans="1:3" x14ac:dyDescent="0.3">
      <c r="A665">
        <v>661</v>
      </c>
      <c r="B665" s="25" cm="1">
        <f t="array" ref="B665">loi_canard()</f>
        <v>3</v>
      </c>
      <c r="C665" s="25"/>
    </row>
    <row r="666" spans="1:3" x14ac:dyDescent="0.3">
      <c r="A666">
        <v>662</v>
      </c>
      <c r="B666" s="25" cm="1">
        <f t="array" ref="B666">loi_canard()</f>
        <v>5</v>
      </c>
      <c r="C666" s="25"/>
    </row>
    <row r="667" spans="1:3" x14ac:dyDescent="0.3">
      <c r="A667">
        <v>663</v>
      </c>
      <c r="B667" s="25" cm="1">
        <f t="array" ref="B667">loi_canard()</f>
        <v>4</v>
      </c>
      <c r="C667" s="25"/>
    </row>
    <row r="668" spans="1:3" x14ac:dyDescent="0.3">
      <c r="A668">
        <v>664</v>
      </c>
      <c r="B668" s="25" cm="1">
        <f t="array" ref="B668">loi_canard()</f>
        <v>4</v>
      </c>
      <c r="C668" s="25"/>
    </row>
    <row r="669" spans="1:3" x14ac:dyDescent="0.3">
      <c r="A669">
        <v>665</v>
      </c>
      <c r="B669" s="25" cm="1">
        <f t="array" ref="B669">loi_canard()</f>
        <v>2</v>
      </c>
      <c r="C669" s="25"/>
    </row>
    <row r="670" spans="1:3" x14ac:dyDescent="0.3">
      <c r="A670">
        <v>666</v>
      </c>
      <c r="B670" s="25" cm="1">
        <f t="array" ref="B670">loi_canard()</f>
        <v>3</v>
      </c>
      <c r="C670" s="25"/>
    </row>
    <row r="671" spans="1:3" x14ac:dyDescent="0.3">
      <c r="A671">
        <v>667</v>
      </c>
      <c r="B671" s="25" cm="1">
        <f t="array" ref="B671">loi_canard()</f>
        <v>5</v>
      </c>
      <c r="C671" s="25"/>
    </row>
    <row r="672" spans="1:3" x14ac:dyDescent="0.3">
      <c r="A672">
        <v>668</v>
      </c>
      <c r="B672" s="25" cm="1">
        <f t="array" ref="B672">loi_canard()</f>
        <v>4</v>
      </c>
      <c r="C672" s="25"/>
    </row>
    <row r="673" spans="1:3" x14ac:dyDescent="0.3">
      <c r="A673">
        <v>669</v>
      </c>
      <c r="B673" s="25" cm="1">
        <f t="array" ref="B673">loi_canard()</f>
        <v>3</v>
      </c>
      <c r="C673" s="25"/>
    </row>
    <row r="674" spans="1:3" x14ac:dyDescent="0.3">
      <c r="A674">
        <v>670</v>
      </c>
      <c r="B674" s="25" cm="1">
        <f t="array" ref="B674">loi_canard()</f>
        <v>3</v>
      </c>
      <c r="C674" s="25"/>
    </row>
    <row r="675" spans="1:3" x14ac:dyDescent="0.3">
      <c r="A675">
        <v>671</v>
      </c>
      <c r="B675" s="25" cm="1">
        <f t="array" ref="B675">loi_canard()</f>
        <v>4</v>
      </c>
      <c r="C675" s="25"/>
    </row>
    <row r="676" spans="1:3" x14ac:dyDescent="0.3">
      <c r="A676">
        <v>672</v>
      </c>
      <c r="B676" s="25" cm="1">
        <f t="array" ref="B676">loi_canard()</f>
        <v>2</v>
      </c>
      <c r="C676" s="25"/>
    </row>
    <row r="677" spans="1:3" x14ac:dyDescent="0.3">
      <c r="A677">
        <v>673</v>
      </c>
      <c r="B677" s="25" cm="1">
        <f t="array" ref="B677">loi_canard()</f>
        <v>4</v>
      </c>
      <c r="C677" s="25"/>
    </row>
    <row r="678" spans="1:3" x14ac:dyDescent="0.3">
      <c r="A678">
        <v>674</v>
      </c>
      <c r="B678" s="25" cm="1">
        <f t="array" ref="B678">loi_canard()</f>
        <v>3</v>
      </c>
      <c r="C678" s="25"/>
    </row>
    <row r="679" spans="1:3" x14ac:dyDescent="0.3">
      <c r="A679">
        <v>675</v>
      </c>
      <c r="B679" s="25" cm="1">
        <f t="array" ref="B679">loi_canard()</f>
        <v>3</v>
      </c>
      <c r="C679" s="25"/>
    </row>
    <row r="680" spans="1:3" x14ac:dyDescent="0.3">
      <c r="A680">
        <v>676</v>
      </c>
      <c r="B680" s="25" cm="1">
        <f t="array" ref="B680">loi_canard()</f>
        <v>3</v>
      </c>
      <c r="C680" s="25"/>
    </row>
    <row r="681" spans="1:3" x14ac:dyDescent="0.3">
      <c r="A681">
        <v>677</v>
      </c>
      <c r="B681" s="25" cm="1">
        <f t="array" ref="B681">loi_canard()</f>
        <v>3</v>
      </c>
      <c r="C681" s="25"/>
    </row>
    <row r="682" spans="1:3" x14ac:dyDescent="0.3">
      <c r="A682">
        <v>678</v>
      </c>
      <c r="B682" s="25" cm="1">
        <f t="array" ref="B682">loi_canard()</f>
        <v>4</v>
      </c>
      <c r="C682" s="25"/>
    </row>
    <row r="683" spans="1:3" x14ac:dyDescent="0.3">
      <c r="A683">
        <v>679</v>
      </c>
      <c r="B683" s="25" cm="1">
        <f t="array" ref="B683">loi_canard()</f>
        <v>4</v>
      </c>
      <c r="C683" s="25"/>
    </row>
    <row r="684" spans="1:3" x14ac:dyDescent="0.3">
      <c r="A684">
        <v>680</v>
      </c>
      <c r="B684" s="25" cm="1">
        <f t="array" ref="B684">loi_canard()</f>
        <v>5</v>
      </c>
      <c r="C684" s="25"/>
    </row>
    <row r="685" spans="1:3" x14ac:dyDescent="0.3">
      <c r="A685">
        <v>681</v>
      </c>
      <c r="B685" s="25" cm="1">
        <f t="array" ref="B685">loi_canard()</f>
        <v>5</v>
      </c>
      <c r="C685" s="25"/>
    </row>
    <row r="686" spans="1:3" x14ac:dyDescent="0.3">
      <c r="A686">
        <v>682</v>
      </c>
      <c r="B686" s="25" cm="1">
        <f t="array" ref="B686">loi_canard()</f>
        <v>5</v>
      </c>
      <c r="C686" s="25"/>
    </row>
    <row r="687" spans="1:3" x14ac:dyDescent="0.3">
      <c r="A687">
        <v>683</v>
      </c>
      <c r="B687" s="25" cm="1">
        <f t="array" ref="B687">loi_canard()</f>
        <v>3</v>
      </c>
      <c r="C687" s="25"/>
    </row>
    <row r="688" spans="1:3" x14ac:dyDescent="0.3">
      <c r="A688">
        <v>684</v>
      </c>
      <c r="B688" s="25" cm="1">
        <f t="array" ref="B688">loi_canard()</f>
        <v>3</v>
      </c>
      <c r="C688" s="25"/>
    </row>
    <row r="689" spans="1:3" x14ac:dyDescent="0.3">
      <c r="A689">
        <v>685</v>
      </c>
      <c r="B689" s="25" cm="1">
        <f t="array" ref="B689">loi_canard()</f>
        <v>4</v>
      </c>
      <c r="C689" s="25"/>
    </row>
    <row r="690" spans="1:3" x14ac:dyDescent="0.3">
      <c r="A690">
        <v>686</v>
      </c>
      <c r="B690" s="25" cm="1">
        <f t="array" ref="B690">loi_canard()</f>
        <v>3</v>
      </c>
      <c r="C690" s="25"/>
    </row>
    <row r="691" spans="1:3" x14ac:dyDescent="0.3">
      <c r="A691">
        <v>687</v>
      </c>
      <c r="B691" s="25" cm="1">
        <f t="array" ref="B691">loi_canard()</f>
        <v>3</v>
      </c>
      <c r="C691" s="25"/>
    </row>
    <row r="692" spans="1:3" x14ac:dyDescent="0.3">
      <c r="A692">
        <v>688</v>
      </c>
      <c r="B692" s="25" cm="1">
        <f t="array" ref="B692">loi_canard()</f>
        <v>4</v>
      </c>
      <c r="C692" s="25"/>
    </row>
    <row r="693" spans="1:3" x14ac:dyDescent="0.3">
      <c r="A693">
        <v>689</v>
      </c>
      <c r="B693" s="25" cm="1">
        <f t="array" ref="B693">loi_canard()</f>
        <v>5</v>
      </c>
      <c r="C693" s="25"/>
    </row>
    <row r="694" spans="1:3" x14ac:dyDescent="0.3">
      <c r="A694">
        <v>690</v>
      </c>
      <c r="B694" s="25" cm="1">
        <f t="array" ref="B694">loi_canard()</f>
        <v>3</v>
      </c>
      <c r="C694" s="25"/>
    </row>
    <row r="695" spans="1:3" x14ac:dyDescent="0.3">
      <c r="A695">
        <v>691</v>
      </c>
      <c r="B695" s="25" cm="1">
        <f t="array" ref="B695">loi_canard()</f>
        <v>3</v>
      </c>
      <c r="C695" s="25"/>
    </row>
    <row r="696" spans="1:3" x14ac:dyDescent="0.3">
      <c r="A696">
        <v>692</v>
      </c>
      <c r="B696" s="25" cm="1">
        <f t="array" ref="B696">loi_canard()</f>
        <v>4</v>
      </c>
      <c r="C696" s="25"/>
    </row>
    <row r="697" spans="1:3" x14ac:dyDescent="0.3">
      <c r="A697">
        <v>693</v>
      </c>
      <c r="B697" s="25" cm="1">
        <f t="array" ref="B697">loi_canard()</f>
        <v>3</v>
      </c>
      <c r="C697" s="25"/>
    </row>
    <row r="698" spans="1:3" x14ac:dyDescent="0.3">
      <c r="A698">
        <v>694</v>
      </c>
      <c r="B698" s="25" cm="1">
        <f t="array" ref="B698">loi_canard()</f>
        <v>2</v>
      </c>
      <c r="C698" s="25"/>
    </row>
    <row r="699" spans="1:3" x14ac:dyDescent="0.3">
      <c r="A699">
        <v>695</v>
      </c>
      <c r="B699" s="25" cm="1">
        <f t="array" ref="B699">loi_canard()</f>
        <v>1</v>
      </c>
      <c r="C699" s="25"/>
    </row>
    <row r="700" spans="1:3" x14ac:dyDescent="0.3">
      <c r="A700">
        <v>696</v>
      </c>
      <c r="B700" s="25" cm="1">
        <f t="array" ref="B700">loi_canard()</f>
        <v>5</v>
      </c>
      <c r="C700" s="25"/>
    </row>
    <row r="701" spans="1:3" x14ac:dyDescent="0.3">
      <c r="A701">
        <v>697</v>
      </c>
      <c r="B701" s="25" cm="1">
        <f t="array" ref="B701">loi_canard()</f>
        <v>4</v>
      </c>
      <c r="C701" s="25"/>
    </row>
    <row r="702" spans="1:3" x14ac:dyDescent="0.3">
      <c r="A702">
        <v>698</v>
      </c>
      <c r="B702" s="25" cm="1">
        <f t="array" ref="B702">loi_canard()</f>
        <v>3</v>
      </c>
      <c r="C702" s="25"/>
    </row>
    <row r="703" spans="1:3" x14ac:dyDescent="0.3">
      <c r="A703">
        <v>699</v>
      </c>
      <c r="B703" s="25" cm="1">
        <f t="array" ref="B703">loi_canard()</f>
        <v>3</v>
      </c>
      <c r="C703" s="25"/>
    </row>
    <row r="704" spans="1:3" x14ac:dyDescent="0.3">
      <c r="A704">
        <v>700</v>
      </c>
      <c r="B704" s="25" cm="1">
        <f t="array" ref="B704">loi_canard()</f>
        <v>4</v>
      </c>
      <c r="C704" s="25"/>
    </row>
    <row r="705" spans="1:3" x14ac:dyDescent="0.3">
      <c r="A705">
        <v>701</v>
      </c>
      <c r="B705" s="25" cm="1">
        <f t="array" ref="B705">loi_canard()</f>
        <v>2</v>
      </c>
      <c r="C705" s="25"/>
    </row>
    <row r="706" spans="1:3" x14ac:dyDescent="0.3">
      <c r="A706">
        <v>702</v>
      </c>
      <c r="B706" s="25" cm="1">
        <f t="array" ref="B706">loi_canard()</f>
        <v>3</v>
      </c>
      <c r="C706" s="25"/>
    </row>
    <row r="707" spans="1:3" x14ac:dyDescent="0.3">
      <c r="A707">
        <v>703</v>
      </c>
      <c r="B707" s="25" cm="1">
        <f t="array" ref="B707">loi_canard()</f>
        <v>4</v>
      </c>
      <c r="C707" s="25"/>
    </row>
    <row r="708" spans="1:3" x14ac:dyDescent="0.3">
      <c r="A708">
        <v>704</v>
      </c>
      <c r="B708" s="25" cm="1">
        <f t="array" ref="B708">loi_canard()</f>
        <v>7</v>
      </c>
      <c r="C708" s="25"/>
    </row>
    <row r="709" spans="1:3" x14ac:dyDescent="0.3">
      <c r="A709">
        <v>705</v>
      </c>
      <c r="B709" s="25" cm="1">
        <f t="array" ref="B709">loi_canard()</f>
        <v>3</v>
      </c>
      <c r="C709" s="25"/>
    </row>
    <row r="710" spans="1:3" x14ac:dyDescent="0.3">
      <c r="A710">
        <v>706</v>
      </c>
      <c r="B710" s="25" cm="1">
        <f t="array" ref="B710">loi_canard()</f>
        <v>3</v>
      </c>
      <c r="C710" s="25"/>
    </row>
    <row r="711" spans="1:3" x14ac:dyDescent="0.3">
      <c r="A711">
        <v>707</v>
      </c>
      <c r="B711" s="25" cm="1">
        <f t="array" ref="B711">loi_canard()</f>
        <v>0</v>
      </c>
      <c r="C711" s="25"/>
    </row>
    <row r="712" spans="1:3" x14ac:dyDescent="0.3">
      <c r="A712">
        <v>708</v>
      </c>
      <c r="B712" s="25" cm="1">
        <f t="array" ref="B712">loi_canard()</f>
        <v>4</v>
      </c>
      <c r="C712" s="25"/>
    </row>
    <row r="713" spans="1:3" x14ac:dyDescent="0.3">
      <c r="A713">
        <v>709</v>
      </c>
      <c r="B713" s="25" cm="1">
        <f t="array" ref="B713">loi_canard()</f>
        <v>2</v>
      </c>
      <c r="C713" s="25"/>
    </row>
    <row r="714" spans="1:3" x14ac:dyDescent="0.3">
      <c r="A714">
        <v>710</v>
      </c>
      <c r="B714" s="25" cm="1">
        <f t="array" ref="B714">loi_canard()</f>
        <v>4</v>
      </c>
      <c r="C714" s="25"/>
    </row>
    <row r="715" spans="1:3" x14ac:dyDescent="0.3">
      <c r="A715">
        <v>711</v>
      </c>
      <c r="B715" s="25" cm="1">
        <f t="array" ref="B715">loi_canard()</f>
        <v>4</v>
      </c>
      <c r="C715" s="25"/>
    </row>
    <row r="716" spans="1:3" x14ac:dyDescent="0.3">
      <c r="A716">
        <v>712</v>
      </c>
      <c r="B716" s="25" cm="1">
        <f t="array" ref="B716">loi_canard()</f>
        <v>5</v>
      </c>
      <c r="C716" s="25"/>
    </row>
    <row r="717" spans="1:3" x14ac:dyDescent="0.3">
      <c r="A717">
        <v>713</v>
      </c>
      <c r="B717" s="25" cm="1">
        <f t="array" ref="B717">loi_canard()</f>
        <v>2</v>
      </c>
      <c r="C717" s="25"/>
    </row>
    <row r="718" spans="1:3" x14ac:dyDescent="0.3">
      <c r="A718">
        <v>714</v>
      </c>
      <c r="B718" s="25" cm="1">
        <f t="array" ref="B718">loi_canard()</f>
        <v>5</v>
      </c>
      <c r="C718" s="25"/>
    </row>
    <row r="719" spans="1:3" x14ac:dyDescent="0.3">
      <c r="A719">
        <v>715</v>
      </c>
      <c r="B719" s="25" cm="1">
        <f t="array" ref="B719">loi_canard()</f>
        <v>5</v>
      </c>
      <c r="C719" s="25"/>
    </row>
    <row r="720" spans="1:3" x14ac:dyDescent="0.3">
      <c r="A720">
        <v>716</v>
      </c>
      <c r="B720" s="25" cm="1">
        <f t="array" ref="B720">loi_canard()</f>
        <v>4</v>
      </c>
      <c r="C720" s="25"/>
    </row>
    <row r="721" spans="1:3" x14ac:dyDescent="0.3">
      <c r="A721">
        <v>717</v>
      </c>
      <c r="B721" s="25" cm="1">
        <f t="array" ref="B721">loi_canard()</f>
        <v>5</v>
      </c>
      <c r="C721" s="25"/>
    </row>
    <row r="722" spans="1:3" x14ac:dyDescent="0.3">
      <c r="A722">
        <v>718</v>
      </c>
      <c r="B722" s="25" cm="1">
        <f t="array" ref="B722">loi_canard()</f>
        <v>3</v>
      </c>
      <c r="C722" s="25"/>
    </row>
    <row r="723" spans="1:3" x14ac:dyDescent="0.3">
      <c r="A723">
        <v>719</v>
      </c>
      <c r="B723" s="25" cm="1">
        <f t="array" ref="B723">loi_canard()</f>
        <v>5</v>
      </c>
      <c r="C723" s="25"/>
    </row>
    <row r="724" spans="1:3" x14ac:dyDescent="0.3">
      <c r="A724">
        <v>720</v>
      </c>
      <c r="B724" s="25" cm="1">
        <f t="array" ref="B724">loi_canard()</f>
        <v>4</v>
      </c>
      <c r="C724" s="25"/>
    </row>
    <row r="725" spans="1:3" x14ac:dyDescent="0.3">
      <c r="A725">
        <v>721</v>
      </c>
      <c r="B725" s="25" cm="1">
        <f t="array" ref="B725">loi_canard()</f>
        <v>3</v>
      </c>
      <c r="C725" s="25"/>
    </row>
    <row r="726" spans="1:3" x14ac:dyDescent="0.3">
      <c r="A726">
        <v>722</v>
      </c>
      <c r="B726" s="25" cm="1">
        <f t="array" ref="B726">loi_canard()</f>
        <v>5</v>
      </c>
      <c r="C726" s="25"/>
    </row>
    <row r="727" spans="1:3" x14ac:dyDescent="0.3">
      <c r="A727">
        <v>723</v>
      </c>
      <c r="B727" s="25" cm="1">
        <f t="array" ref="B727">loi_canard()</f>
        <v>4</v>
      </c>
      <c r="C727" s="25"/>
    </row>
    <row r="728" spans="1:3" x14ac:dyDescent="0.3">
      <c r="A728">
        <v>724</v>
      </c>
      <c r="B728" s="25" cm="1">
        <f t="array" ref="B728">loi_canard()</f>
        <v>5</v>
      </c>
      <c r="C728" s="25"/>
    </row>
    <row r="729" spans="1:3" x14ac:dyDescent="0.3">
      <c r="A729">
        <v>725</v>
      </c>
      <c r="B729" s="25" cm="1">
        <f t="array" ref="B729">loi_canard()</f>
        <v>5</v>
      </c>
      <c r="C729" s="25"/>
    </row>
    <row r="730" spans="1:3" x14ac:dyDescent="0.3">
      <c r="A730">
        <v>726</v>
      </c>
      <c r="B730" s="25" cm="1">
        <f t="array" ref="B730">loi_canard()</f>
        <v>4</v>
      </c>
      <c r="C730" s="25"/>
    </row>
    <row r="731" spans="1:3" x14ac:dyDescent="0.3">
      <c r="A731">
        <v>727</v>
      </c>
      <c r="B731" s="25" cm="1">
        <f t="array" ref="B731">loi_canard()</f>
        <v>3</v>
      </c>
      <c r="C731" s="25"/>
    </row>
    <row r="732" spans="1:3" x14ac:dyDescent="0.3">
      <c r="A732">
        <v>728</v>
      </c>
      <c r="B732" s="25" cm="1">
        <f t="array" ref="B732">loi_canard()</f>
        <v>3</v>
      </c>
      <c r="C732" s="25"/>
    </row>
    <row r="733" spans="1:3" x14ac:dyDescent="0.3">
      <c r="A733">
        <v>729</v>
      </c>
      <c r="B733" s="25" cm="1">
        <f t="array" ref="B733">loi_canard()</f>
        <v>4</v>
      </c>
      <c r="C733" s="25"/>
    </row>
    <row r="734" spans="1:3" x14ac:dyDescent="0.3">
      <c r="A734">
        <v>730</v>
      </c>
      <c r="B734" s="25" cm="1">
        <f t="array" ref="B734">loi_canard()</f>
        <v>5</v>
      </c>
      <c r="C734" s="25"/>
    </row>
    <row r="735" spans="1:3" x14ac:dyDescent="0.3">
      <c r="A735">
        <v>731</v>
      </c>
      <c r="B735" s="25" cm="1">
        <f t="array" ref="B735">loi_canard()</f>
        <v>3</v>
      </c>
      <c r="C735" s="25"/>
    </row>
    <row r="736" spans="1:3" x14ac:dyDescent="0.3">
      <c r="A736">
        <v>732</v>
      </c>
      <c r="B736" s="25" cm="1">
        <f t="array" ref="B736">loi_canard()</f>
        <v>3</v>
      </c>
      <c r="C736" s="25"/>
    </row>
    <row r="737" spans="1:3" x14ac:dyDescent="0.3">
      <c r="A737">
        <v>733</v>
      </c>
      <c r="B737" s="25" cm="1">
        <f t="array" ref="B737">loi_canard()</f>
        <v>3</v>
      </c>
      <c r="C737" s="25"/>
    </row>
    <row r="738" spans="1:3" x14ac:dyDescent="0.3">
      <c r="A738">
        <v>734</v>
      </c>
      <c r="B738" s="25" cm="1">
        <f t="array" ref="B738">loi_canard()</f>
        <v>5</v>
      </c>
      <c r="C738" s="25"/>
    </row>
    <row r="739" spans="1:3" x14ac:dyDescent="0.3">
      <c r="A739">
        <v>735</v>
      </c>
      <c r="B739" s="25" cm="1">
        <f t="array" ref="B739">loi_canard()</f>
        <v>5</v>
      </c>
      <c r="C739" s="25"/>
    </row>
    <row r="740" spans="1:3" x14ac:dyDescent="0.3">
      <c r="A740">
        <v>736</v>
      </c>
      <c r="B740" s="25" cm="1">
        <f t="array" ref="B740">loi_canard()</f>
        <v>2</v>
      </c>
      <c r="C740" s="25"/>
    </row>
    <row r="741" spans="1:3" x14ac:dyDescent="0.3">
      <c r="A741">
        <v>737</v>
      </c>
      <c r="B741" s="25" cm="1">
        <f t="array" ref="B741">loi_canard()</f>
        <v>3</v>
      </c>
      <c r="C741" s="25"/>
    </row>
    <row r="742" spans="1:3" x14ac:dyDescent="0.3">
      <c r="A742">
        <v>738</v>
      </c>
      <c r="B742" s="25" cm="1">
        <f t="array" ref="B742">loi_canard()</f>
        <v>4</v>
      </c>
      <c r="C742" s="25"/>
    </row>
    <row r="743" spans="1:3" x14ac:dyDescent="0.3">
      <c r="A743">
        <v>739</v>
      </c>
      <c r="B743" s="25" cm="1">
        <f t="array" ref="B743">loi_canard()</f>
        <v>2</v>
      </c>
      <c r="C743" s="25"/>
    </row>
    <row r="744" spans="1:3" x14ac:dyDescent="0.3">
      <c r="A744">
        <v>740</v>
      </c>
      <c r="B744" s="25" cm="1">
        <f t="array" ref="B744">loi_canard()</f>
        <v>4</v>
      </c>
      <c r="C744" s="25"/>
    </row>
    <row r="745" spans="1:3" x14ac:dyDescent="0.3">
      <c r="A745">
        <v>741</v>
      </c>
      <c r="B745" s="25" cm="1">
        <f t="array" ref="B745">loi_canard()</f>
        <v>4</v>
      </c>
      <c r="C745" s="25"/>
    </row>
    <row r="746" spans="1:3" x14ac:dyDescent="0.3">
      <c r="A746">
        <v>742</v>
      </c>
      <c r="B746" s="25" cm="1">
        <f t="array" ref="B746">loi_canard()</f>
        <v>3</v>
      </c>
      <c r="C746" s="25"/>
    </row>
    <row r="747" spans="1:3" x14ac:dyDescent="0.3">
      <c r="A747">
        <v>743</v>
      </c>
      <c r="B747" s="25" cm="1">
        <f t="array" ref="B747">loi_canard()</f>
        <v>4</v>
      </c>
      <c r="C747" s="25"/>
    </row>
    <row r="748" spans="1:3" x14ac:dyDescent="0.3">
      <c r="A748">
        <v>744</v>
      </c>
      <c r="B748" s="25" cm="1">
        <f t="array" ref="B748">loi_canard()</f>
        <v>5</v>
      </c>
      <c r="C748" s="25"/>
    </row>
    <row r="749" spans="1:3" x14ac:dyDescent="0.3">
      <c r="A749">
        <v>745</v>
      </c>
      <c r="B749" s="25" cm="1">
        <f t="array" ref="B749">loi_canard()</f>
        <v>4</v>
      </c>
      <c r="C749" s="25"/>
    </row>
    <row r="750" spans="1:3" x14ac:dyDescent="0.3">
      <c r="A750">
        <v>746</v>
      </c>
      <c r="B750" s="25" cm="1">
        <f t="array" ref="B750">loi_canard()</f>
        <v>5</v>
      </c>
      <c r="C750" s="25"/>
    </row>
    <row r="751" spans="1:3" x14ac:dyDescent="0.3">
      <c r="A751">
        <v>747</v>
      </c>
      <c r="B751" s="25" cm="1">
        <f t="array" ref="B751">loi_canard()</f>
        <v>4</v>
      </c>
      <c r="C751" s="25"/>
    </row>
    <row r="752" spans="1:3" x14ac:dyDescent="0.3">
      <c r="A752">
        <v>748</v>
      </c>
      <c r="B752" s="25" cm="1">
        <f t="array" ref="B752">loi_canard()</f>
        <v>3</v>
      </c>
      <c r="C752" s="25"/>
    </row>
    <row r="753" spans="1:3" x14ac:dyDescent="0.3">
      <c r="A753">
        <v>749</v>
      </c>
      <c r="B753" s="25" cm="1">
        <f t="array" ref="B753">loi_canard()</f>
        <v>4</v>
      </c>
      <c r="C753" s="25"/>
    </row>
    <row r="754" spans="1:3" x14ac:dyDescent="0.3">
      <c r="A754">
        <v>750</v>
      </c>
      <c r="B754" s="25" cm="1">
        <f t="array" ref="B754">loi_canard()</f>
        <v>4</v>
      </c>
      <c r="C754" s="25"/>
    </row>
    <row r="755" spans="1:3" x14ac:dyDescent="0.3">
      <c r="A755">
        <v>751</v>
      </c>
      <c r="B755" s="25" cm="1">
        <f t="array" ref="B755">loi_canard()</f>
        <v>4</v>
      </c>
      <c r="C755" s="25"/>
    </row>
    <row r="756" spans="1:3" x14ac:dyDescent="0.3">
      <c r="A756">
        <v>752</v>
      </c>
      <c r="B756" s="25" cm="1">
        <f t="array" ref="B756">loi_canard()</f>
        <v>4</v>
      </c>
      <c r="C756" s="25"/>
    </row>
    <row r="757" spans="1:3" x14ac:dyDescent="0.3">
      <c r="A757">
        <v>753</v>
      </c>
      <c r="B757" s="25" cm="1">
        <f t="array" ref="B757">loi_canard()</f>
        <v>4</v>
      </c>
      <c r="C757" s="25"/>
    </row>
    <row r="758" spans="1:3" x14ac:dyDescent="0.3">
      <c r="A758">
        <v>754</v>
      </c>
      <c r="B758" s="25" cm="1">
        <f t="array" ref="B758">loi_canard()</f>
        <v>4</v>
      </c>
      <c r="C758" s="25"/>
    </row>
    <row r="759" spans="1:3" x14ac:dyDescent="0.3">
      <c r="A759">
        <v>755</v>
      </c>
      <c r="B759" s="25" cm="1">
        <f t="array" ref="B759">loi_canard()</f>
        <v>2</v>
      </c>
      <c r="C759" s="25"/>
    </row>
    <row r="760" spans="1:3" x14ac:dyDescent="0.3">
      <c r="A760">
        <v>756</v>
      </c>
      <c r="B760" s="25" cm="1">
        <f t="array" ref="B760">loi_canard()</f>
        <v>3</v>
      </c>
      <c r="C760" s="25"/>
    </row>
    <row r="761" spans="1:3" x14ac:dyDescent="0.3">
      <c r="A761">
        <v>757</v>
      </c>
      <c r="B761" s="25" cm="1">
        <f t="array" ref="B761">loi_canard()</f>
        <v>3</v>
      </c>
      <c r="C761" s="25"/>
    </row>
    <row r="762" spans="1:3" x14ac:dyDescent="0.3">
      <c r="A762">
        <v>758</v>
      </c>
      <c r="B762" s="25" cm="1">
        <f t="array" ref="B762">loi_canard()</f>
        <v>3</v>
      </c>
      <c r="C762" s="25"/>
    </row>
    <row r="763" spans="1:3" x14ac:dyDescent="0.3">
      <c r="A763">
        <v>759</v>
      </c>
      <c r="B763" s="25" cm="1">
        <f t="array" ref="B763">loi_canard()</f>
        <v>3</v>
      </c>
      <c r="C763" s="25"/>
    </row>
    <row r="764" spans="1:3" x14ac:dyDescent="0.3">
      <c r="A764">
        <v>760</v>
      </c>
      <c r="B764" s="25" cm="1">
        <f t="array" ref="B764">loi_canard()</f>
        <v>3</v>
      </c>
      <c r="C764" s="25"/>
    </row>
    <row r="765" spans="1:3" x14ac:dyDescent="0.3">
      <c r="A765">
        <v>761</v>
      </c>
      <c r="B765" s="25" cm="1">
        <f t="array" ref="B765">loi_canard()</f>
        <v>3</v>
      </c>
      <c r="C765" s="25"/>
    </row>
    <row r="766" spans="1:3" x14ac:dyDescent="0.3">
      <c r="A766">
        <v>762</v>
      </c>
      <c r="B766" s="25" cm="1">
        <f t="array" ref="B766">loi_canard()</f>
        <v>4</v>
      </c>
      <c r="C766" s="25"/>
    </row>
    <row r="767" spans="1:3" x14ac:dyDescent="0.3">
      <c r="A767">
        <v>763</v>
      </c>
      <c r="B767" s="25" cm="1">
        <f t="array" ref="B767">loi_canard()</f>
        <v>3</v>
      </c>
      <c r="C767" s="25"/>
    </row>
    <row r="768" spans="1:3" x14ac:dyDescent="0.3">
      <c r="A768">
        <v>764</v>
      </c>
      <c r="B768" s="25" cm="1">
        <f t="array" ref="B768">loi_canard()</f>
        <v>2</v>
      </c>
      <c r="C768" s="25"/>
    </row>
    <row r="769" spans="1:3" x14ac:dyDescent="0.3">
      <c r="A769">
        <v>765</v>
      </c>
      <c r="B769" s="25" cm="1">
        <f t="array" ref="B769">loi_canard()</f>
        <v>5</v>
      </c>
      <c r="C769" s="25"/>
    </row>
    <row r="770" spans="1:3" x14ac:dyDescent="0.3">
      <c r="A770">
        <v>766</v>
      </c>
      <c r="B770" s="25" cm="1">
        <f t="array" ref="B770">loi_canard()</f>
        <v>4</v>
      </c>
      <c r="C770" s="25"/>
    </row>
    <row r="771" spans="1:3" x14ac:dyDescent="0.3">
      <c r="A771">
        <v>767</v>
      </c>
      <c r="B771" s="25" cm="1">
        <f t="array" ref="B771">loi_canard()</f>
        <v>2</v>
      </c>
      <c r="C771" s="25"/>
    </row>
    <row r="772" spans="1:3" x14ac:dyDescent="0.3">
      <c r="A772">
        <v>768</v>
      </c>
      <c r="B772" s="25" cm="1">
        <f t="array" ref="B772">loi_canard()</f>
        <v>1</v>
      </c>
      <c r="C772" s="25"/>
    </row>
    <row r="773" spans="1:3" x14ac:dyDescent="0.3">
      <c r="A773">
        <v>769</v>
      </c>
      <c r="B773" s="25" cm="1">
        <f t="array" ref="B773">loi_canard()</f>
        <v>3</v>
      </c>
      <c r="C773" s="25"/>
    </row>
    <row r="774" spans="1:3" x14ac:dyDescent="0.3">
      <c r="A774">
        <v>770</v>
      </c>
      <c r="B774" s="25" cm="1">
        <f t="array" ref="B774">loi_canard()</f>
        <v>4</v>
      </c>
      <c r="C774" s="25"/>
    </row>
    <row r="775" spans="1:3" x14ac:dyDescent="0.3">
      <c r="A775">
        <v>771</v>
      </c>
      <c r="B775" s="25" cm="1">
        <f t="array" ref="B775">loi_canard()</f>
        <v>4</v>
      </c>
      <c r="C775" s="25"/>
    </row>
    <row r="776" spans="1:3" x14ac:dyDescent="0.3">
      <c r="A776">
        <v>772</v>
      </c>
      <c r="B776" s="25" cm="1">
        <f t="array" ref="B776">loi_canard()</f>
        <v>4</v>
      </c>
      <c r="C776" s="25"/>
    </row>
    <row r="777" spans="1:3" x14ac:dyDescent="0.3">
      <c r="A777">
        <v>773</v>
      </c>
      <c r="B777" s="25" cm="1">
        <f t="array" ref="B777">loi_canard()</f>
        <v>4</v>
      </c>
      <c r="C777" s="25"/>
    </row>
    <row r="778" spans="1:3" x14ac:dyDescent="0.3">
      <c r="A778">
        <v>774</v>
      </c>
      <c r="B778" s="25" cm="1">
        <f t="array" ref="B778">loi_canard()</f>
        <v>4</v>
      </c>
      <c r="C778" s="25"/>
    </row>
    <row r="779" spans="1:3" x14ac:dyDescent="0.3">
      <c r="A779">
        <v>775</v>
      </c>
      <c r="B779" s="25" cm="1">
        <f t="array" ref="B779">loi_canard()</f>
        <v>4</v>
      </c>
      <c r="C779" s="25"/>
    </row>
    <row r="780" spans="1:3" x14ac:dyDescent="0.3">
      <c r="A780">
        <v>776</v>
      </c>
      <c r="B780" s="25" cm="1">
        <f t="array" ref="B780">loi_canard()</f>
        <v>4</v>
      </c>
      <c r="C780" s="25"/>
    </row>
    <row r="781" spans="1:3" x14ac:dyDescent="0.3">
      <c r="A781">
        <v>777</v>
      </c>
      <c r="B781" s="25" cm="1">
        <f t="array" ref="B781">loi_canard()</f>
        <v>3</v>
      </c>
      <c r="C781" s="25"/>
    </row>
    <row r="782" spans="1:3" x14ac:dyDescent="0.3">
      <c r="A782">
        <v>778</v>
      </c>
      <c r="B782" s="25" cm="1">
        <f t="array" ref="B782">loi_canard()</f>
        <v>4</v>
      </c>
      <c r="C782" s="25"/>
    </row>
    <row r="783" spans="1:3" x14ac:dyDescent="0.3">
      <c r="A783">
        <v>779</v>
      </c>
      <c r="B783" s="25" cm="1">
        <f t="array" ref="B783">loi_canard()</f>
        <v>4</v>
      </c>
      <c r="C783" s="25"/>
    </row>
    <row r="784" spans="1:3" x14ac:dyDescent="0.3">
      <c r="A784">
        <v>780</v>
      </c>
      <c r="B784" s="25" cm="1">
        <f t="array" ref="B784">loi_canard()</f>
        <v>4</v>
      </c>
      <c r="C784" s="25"/>
    </row>
    <row r="785" spans="1:3" x14ac:dyDescent="0.3">
      <c r="A785">
        <v>781</v>
      </c>
      <c r="B785" s="25" cm="1">
        <f t="array" ref="B785">loi_canard()</f>
        <v>3</v>
      </c>
      <c r="C785" s="25"/>
    </row>
    <row r="786" spans="1:3" x14ac:dyDescent="0.3">
      <c r="A786">
        <v>782</v>
      </c>
      <c r="B786" s="25" cm="1">
        <f t="array" ref="B786">loi_canard()</f>
        <v>4</v>
      </c>
      <c r="C786" s="25"/>
    </row>
    <row r="787" spans="1:3" x14ac:dyDescent="0.3">
      <c r="A787">
        <v>783</v>
      </c>
      <c r="B787" s="25" cm="1">
        <f t="array" ref="B787">loi_canard()</f>
        <v>3</v>
      </c>
      <c r="C787" s="25"/>
    </row>
    <row r="788" spans="1:3" x14ac:dyDescent="0.3">
      <c r="A788">
        <v>784</v>
      </c>
      <c r="B788" s="25" cm="1">
        <f t="array" ref="B788">loi_canard()</f>
        <v>5</v>
      </c>
      <c r="C788" s="25"/>
    </row>
    <row r="789" spans="1:3" x14ac:dyDescent="0.3">
      <c r="A789">
        <v>785</v>
      </c>
      <c r="B789" s="25" cm="1">
        <f t="array" ref="B789">loi_canard()</f>
        <v>6</v>
      </c>
      <c r="C789" s="25"/>
    </row>
    <row r="790" spans="1:3" x14ac:dyDescent="0.3">
      <c r="A790">
        <v>786</v>
      </c>
      <c r="B790" s="25" cm="1">
        <f t="array" ref="B790">loi_canard()</f>
        <v>2</v>
      </c>
      <c r="C790" s="25"/>
    </row>
    <row r="791" spans="1:3" x14ac:dyDescent="0.3">
      <c r="A791">
        <v>787</v>
      </c>
      <c r="B791" s="25" cm="1">
        <f t="array" ref="B791">loi_canard()</f>
        <v>4</v>
      </c>
      <c r="C791" s="25"/>
    </row>
    <row r="792" spans="1:3" x14ac:dyDescent="0.3">
      <c r="A792">
        <v>788</v>
      </c>
      <c r="B792" s="25" cm="1">
        <f t="array" ref="B792">loi_canard()</f>
        <v>4</v>
      </c>
      <c r="C792" s="25"/>
    </row>
    <row r="793" spans="1:3" x14ac:dyDescent="0.3">
      <c r="A793">
        <v>789</v>
      </c>
      <c r="B793" s="25" cm="1">
        <f t="array" ref="B793">loi_canard()</f>
        <v>4</v>
      </c>
      <c r="C793" s="25"/>
    </row>
    <row r="794" spans="1:3" x14ac:dyDescent="0.3">
      <c r="A794">
        <v>790</v>
      </c>
      <c r="B794" s="25" cm="1">
        <f t="array" ref="B794">loi_canard()</f>
        <v>2</v>
      </c>
      <c r="C794" s="25"/>
    </row>
    <row r="795" spans="1:3" x14ac:dyDescent="0.3">
      <c r="A795">
        <v>791</v>
      </c>
      <c r="B795" s="25" cm="1">
        <f t="array" ref="B795">loi_canard()</f>
        <v>5</v>
      </c>
      <c r="C795" s="25"/>
    </row>
    <row r="796" spans="1:3" x14ac:dyDescent="0.3">
      <c r="A796">
        <v>792</v>
      </c>
      <c r="B796" s="25" cm="1">
        <f t="array" ref="B796">loi_canard()</f>
        <v>4</v>
      </c>
      <c r="C796" s="25"/>
    </row>
    <row r="797" spans="1:3" x14ac:dyDescent="0.3">
      <c r="A797">
        <v>793</v>
      </c>
      <c r="B797" s="25" cm="1">
        <f t="array" ref="B797">loi_canard()</f>
        <v>5</v>
      </c>
      <c r="C797" s="25"/>
    </row>
    <row r="798" spans="1:3" x14ac:dyDescent="0.3">
      <c r="A798">
        <v>794</v>
      </c>
      <c r="B798" s="25" cm="1">
        <f t="array" ref="B798">loi_canard()</f>
        <v>3</v>
      </c>
      <c r="C798" s="25"/>
    </row>
    <row r="799" spans="1:3" x14ac:dyDescent="0.3">
      <c r="A799">
        <v>795</v>
      </c>
      <c r="B799" s="25" cm="1">
        <f t="array" ref="B799">loi_canard()</f>
        <v>2</v>
      </c>
      <c r="C799" s="25"/>
    </row>
    <row r="800" spans="1:3" x14ac:dyDescent="0.3">
      <c r="A800">
        <v>796</v>
      </c>
      <c r="B800" s="25" cm="1">
        <f t="array" ref="B800">loi_canard()</f>
        <v>4</v>
      </c>
      <c r="C800" s="25"/>
    </row>
    <row r="801" spans="1:3" x14ac:dyDescent="0.3">
      <c r="A801">
        <v>797</v>
      </c>
      <c r="B801" s="25" cm="1">
        <f t="array" ref="B801">loi_canard()</f>
        <v>4</v>
      </c>
      <c r="C801" s="25"/>
    </row>
    <row r="802" spans="1:3" x14ac:dyDescent="0.3">
      <c r="A802">
        <v>798</v>
      </c>
      <c r="B802" s="25" cm="1">
        <f t="array" ref="B802">loi_canard()</f>
        <v>5</v>
      </c>
      <c r="C802" s="25"/>
    </row>
    <row r="803" spans="1:3" x14ac:dyDescent="0.3">
      <c r="A803">
        <v>799</v>
      </c>
      <c r="B803" s="25" cm="1">
        <f t="array" ref="B803">loi_canard()</f>
        <v>3</v>
      </c>
      <c r="C803" s="25"/>
    </row>
    <row r="804" spans="1:3" x14ac:dyDescent="0.3">
      <c r="A804">
        <v>800</v>
      </c>
      <c r="B804" s="25" cm="1">
        <f t="array" ref="B804">loi_canard()</f>
        <v>3</v>
      </c>
      <c r="C804" s="25"/>
    </row>
    <row r="805" spans="1:3" x14ac:dyDescent="0.3">
      <c r="A805">
        <v>801</v>
      </c>
      <c r="B805" s="25" cm="1">
        <f t="array" ref="B805">loi_canard()</f>
        <v>5</v>
      </c>
      <c r="C805" s="25"/>
    </row>
    <row r="806" spans="1:3" x14ac:dyDescent="0.3">
      <c r="A806">
        <v>802</v>
      </c>
      <c r="B806" s="25" cm="1">
        <f t="array" ref="B806">loi_canard()</f>
        <v>3</v>
      </c>
      <c r="C806" s="25"/>
    </row>
    <row r="807" spans="1:3" x14ac:dyDescent="0.3">
      <c r="A807">
        <v>803</v>
      </c>
      <c r="B807" s="25" cm="1">
        <f t="array" ref="B807">loi_canard()</f>
        <v>3</v>
      </c>
      <c r="C807" s="25"/>
    </row>
    <row r="808" spans="1:3" x14ac:dyDescent="0.3">
      <c r="A808">
        <v>804</v>
      </c>
      <c r="B808" s="25" cm="1">
        <f t="array" ref="B808">loi_canard()</f>
        <v>3</v>
      </c>
      <c r="C808" s="25"/>
    </row>
    <row r="809" spans="1:3" x14ac:dyDescent="0.3">
      <c r="A809">
        <v>805</v>
      </c>
      <c r="B809" s="25" cm="1">
        <f t="array" ref="B809">loi_canard()</f>
        <v>2</v>
      </c>
      <c r="C809" s="25"/>
    </row>
    <row r="810" spans="1:3" x14ac:dyDescent="0.3">
      <c r="A810">
        <v>806</v>
      </c>
      <c r="B810" s="25" cm="1">
        <f t="array" ref="B810">loi_canard()</f>
        <v>4</v>
      </c>
      <c r="C810" s="25"/>
    </row>
    <row r="811" spans="1:3" x14ac:dyDescent="0.3">
      <c r="A811">
        <v>807</v>
      </c>
      <c r="B811" s="25" cm="1">
        <f t="array" ref="B811">loi_canard()</f>
        <v>4</v>
      </c>
      <c r="C811" s="25"/>
    </row>
    <row r="812" spans="1:3" x14ac:dyDescent="0.3">
      <c r="A812">
        <v>808</v>
      </c>
      <c r="B812" s="25" cm="1">
        <f t="array" ref="B812">loi_canard()</f>
        <v>4</v>
      </c>
      <c r="C812" s="25"/>
    </row>
    <row r="813" spans="1:3" x14ac:dyDescent="0.3">
      <c r="A813">
        <v>809</v>
      </c>
      <c r="B813" s="25" cm="1">
        <f t="array" ref="B813">loi_canard()</f>
        <v>4</v>
      </c>
      <c r="C813" s="25"/>
    </row>
    <row r="814" spans="1:3" x14ac:dyDescent="0.3">
      <c r="A814">
        <v>810</v>
      </c>
      <c r="B814" s="25" cm="1">
        <f t="array" ref="B814">loi_canard()</f>
        <v>2</v>
      </c>
      <c r="C814" s="25"/>
    </row>
    <row r="815" spans="1:3" x14ac:dyDescent="0.3">
      <c r="A815">
        <v>811</v>
      </c>
      <c r="B815" s="25" cm="1">
        <f t="array" ref="B815">loi_canard()</f>
        <v>3</v>
      </c>
      <c r="C815" s="25"/>
    </row>
    <row r="816" spans="1:3" x14ac:dyDescent="0.3">
      <c r="A816">
        <v>812</v>
      </c>
      <c r="B816" s="25" cm="1">
        <f t="array" ref="B816">loi_canard()</f>
        <v>3</v>
      </c>
      <c r="C816" s="25"/>
    </row>
    <row r="817" spans="1:3" x14ac:dyDescent="0.3">
      <c r="A817">
        <v>813</v>
      </c>
      <c r="B817" s="25" cm="1">
        <f t="array" ref="B817">loi_canard()</f>
        <v>3</v>
      </c>
      <c r="C817" s="25"/>
    </row>
    <row r="818" spans="1:3" x14ac:dyDescent="0.3">
      <c r="A818">
        <v>814</v>
      </c>
      <c r="B818" s="25" cm="1">
        <f t="array" ref="B818">loi_canard()</f>
        <v>4</v>
      </c>
      <c r="C818" s="25"/>
    </row>
    <row r="819" spans="1:3" x14ac:dyDescent="0.3">
      <c r="A819">
        <v>815</v>
      </c>
      <c r="B819" s="25" cm="1">
        <f t="array" ref="B819">loi_canard()</f>
        <v>3</v>
      </c>
      <c r="C819" s="25"/>
    </row>
    <row r="820" spans="1:3" x14ac:dyDescent="0.3">
      <c r="A820">
        <v>816</v>
      </c>
      <c r="B820" s="25" cm="1">
        <f t="array" ref="B820">loi_canard()</f>
        <v>5</v>
      </c>
      <c r="C820" s="25"/>
    </row>
    <row r="821" spans="1:3" x14ac:dyDescent="0.3">
      <c r="A821">
        <v>817</v>
      </c>
      <c r="B821" s="25" cm="1">
        <f t="array" ref="B821">loi_canard()</f>
        <v>3</v>
      </c>
      <c r="C821" s="25"/>
    </row>
    <row r="822" spans="1:3" x14ac:dyDescent="0.3">
      <c r="A822">
        <v>818</v>
      </c>
      <c r="B822" s="25" cm="1">
        <f t="array" ref="B822">loi_canard()</f>
        <v>4</v>
      </c>
      <c r="C822" s="25"/>
    </row>
    <row r="823" spans="1:3" x14ac:dyDescent="0.3">
      <c r="A823">
        <v>819</v>
      </c>
      <c r="B823" s="25" cm="1">
        <f t="array" ref="B823">loi_canard()</f>
        <v>4</v>
      </c>
      <c r="C823" s="25"/>
    </row>
    <row r="824" spans="1:3" x14ac:dyDescent="0.3">
      <c r="A824">
        <v>820</v>
      </c>
      <c r="B824" s="25" cm="1">
        <f t="array" ref="B824">loi_canard()</f>
        <v>4</v>
      </c>
      <c r="C824" s="25"/>
    </row>
    <row r="825" spans="1:3" x14ac:dyDescent="0.3">
      <c r="A825">
        <v>821</v>
      </c>
      <c r="B825" s="25" cm="1">
        <f t="array" ref="B825">loi_canard()</f>
        <v>3</v>
      </c>
      <c r="C825" s="25"/>
    </row>
    <row r="826" spans="1:3" x14ac:dyDescent="0.3">
      <c r="A826">
        <v>822</v>
      </c>
      <c r="B826" s="25" cm="1">
        <f t="array" ref="B826">loi_canard()</f>
        <v>2</v>
      </c>
      <c r="C826" s="25"/>
    </row>
    <row r="827" spans="1:3" x14ac:dyDescent="0.3">
      <c r="A827">
        <v>823</v>
      </c>
      <c r="B827" s="25" cm="1">
        <f t="array" ref="B827">loi_canard()</f>
        <v>2</v>
      </c>
      <c r="C827" s="25"/>
    </row>
    <row r="828" spans="1:3" x14ac:dyDescent="0.3">
      <c r="A828">
        <v>824</v>
      </c>
      <c r="B828" s="25" cm="1">
        <f t="array" ref="B828">loi_canard()</f>
        <v>3</v>
      </c>
      <c r="C828" s="25"/>
    </row>
    <row r="829" spans="1:3" x14ac:dyDescent="0.3">
      <c r="A829">
        <v>825</v>
      </c>
      <c r="B829" s="25" cm="1">
        <f t="array" ref="B829">loi_canard()</f>
        <v>3</v>
      </c>
      <c r="C829" s="25"/>
    </row>
    <row r="830" spans="1:3" x14ac:dyDescent="0.3">
      <c r="A830">
        <v>826</v>
      </c>
      <c r="B830" s="25" cm="1">
        <f t="array" ref="B830">loi_canard()</f>
        <v>3</v>
      </c>
      <c r="C830" s="25"/>
    </row>
    <row r="831" spans="1:3" x14ac:dyDescent="0.3">
      <c r="A831">
        <v>827</v>
      </c>
      <c r="B831" s="25" cm="1">
        <f t="array" ref="B831">loi_canard()</f>
        <v>5</v>
      </c>
      <c r="C831" s="25"/>
    </row>
    <row r="832" spans="1:3" x14ac:dyDescent="0.3">
      <c r="A832">
        <v>828</v>
      </c>
      <c r="B832" s="25" cm="1">
        <f t="array" ref="B832">loi_canard()</f>
        <v>2</v>
      </c>
      <c r="C832" s="25"/>
    </row>
    <row r="833" spans="1:3" x14ac:dyDescent="0.3">
      <c r="A833">
        <v>829</v>
      </c>
      <c r="B833" s="25" cm="1">
        <f t="array" ref="B833">loi_canard()</f>
        <v>4</v>
      </c>
      <c r="C833" s="25"/>
    </row>
    <row r="834" spans="1:3" x14ac:dyDescent="0.3">
      <c r="A834">
        <v>830</v>
      </c>
      <c r="B834" s="25" cm="1">
        <f t="array" ref="B834">loi_canard()</f>
        <v>4</v>
      </c>
      <c r="C834" s="25"/>
    </row>
    <row r="835" spans="1:3" x14ac:dyDescent="0.3">
      <c r="A835">
        <v>831</v>
      </c>
      <c r="B835" s="25" cm="1">
        <f t="array" ref="B835">loi_canard()</f>
        <v>4</v>
      </c>
      <c r="C835" s="25"/>
    </row>
    <row r="836" spans="1:3" x14ac:dyDescent="0.3">
      <c r="A836">
        <v>832</v>
      </c>
      <c r="B836" s="25" cm="1">
        <f t="array" ref="B836">loi_canard()</f>
        <v>4</v>
      </c>
      <c r="C836" s="25"/>
    </row>
    <row r="837" spans="1:3" x14ac:dyDescent="0.3">
      <c r="A837">
        <v>833</v>
      </c>
      <c r="B837" s="25" cm="1">
        <f t="array" ref="B837">loi_canard()</f>
        <v>3</v>
      </c>
      <c r="C837" s="25"/>
    </row>
    <row r="838" spans="1:3" x14ac:dyDescent="0.3">
      <c r="A838">
        <v>834</v>
      </c>
      <c r="B838" s="25" cm="1">
        <f t="array" ref="B838">loi_canard()</f>
        <v>3</v>
      </c>
      <c r="C838" s="25"/>
    </row>
    <row r="839" spans="1:3" x14ac:dyDescent="0.3">
      <c r="A839">
        <v>835</v>
      </c>
      <c r="B839" s="25" cm="1">
        <f t="array" ref="B839">loi_canard()</f>
        <v>4</v>
      </c>
      <c r="C839" s="25"/>
    </row>
    <row r="840" spans="1:3" x14ac:dyDescent="0.3">
      <c r="A840">
        <v>836</v>
      </c>
      <c r="B840" s="25" cm="1">
        <f t="array" ref="B840">loi_canard()</f>
        <v>4</v>
      </c>
      <c r="C840" s="25"/>
    </row>
    <row r="841" spans="1:3" x14ac:dyDescent="0.3">
      <c r="A841">
        <v>837</v>
      </c>
      <c r="B841" s="25" cm="1">
        <f t="array" ref="B841">loi_canard()</f>
        <v>2</v>
      </c>
      <c r="C841" s="25"/>
    </row>
    <row r="842" spans="1:3" x14ac:dyDescent="0.3">
      <c r="A842">
        <v>838</v>
      </c>
      <c r="B842" s="25" cm="1">
        <f t="array" ref="B842">loi_canard()</f>
        <v>3</v>
      </c>
      <c r="C842" s="25"/>
    </row>
    <row r="843" spans="1:3" x14ac:dyDescent="0.3">
      <c r="A843">
        <v>839</v>
      </c>
      <c r="B843" s="25" cm="1">
        <f t="array" ref="B843">loi_canard()</f>
        <v>4</v>
      </c>
      <c r="C843" s="25"/>
    </row>
    <row r="844" spans="1:3" x14ac:dyDescent="0.3">
      <c r="A844">
        <v>840</v>
      </c>
      <c r="B844" s="25" cm="1">
        <f t="array" ref="B844">loi_canard()</f>
        <v>4</v>
      </c>
      <c r="C844" s="25"/>
    </row>
    <row r="845" spans="1:3" x14ac:dyDescent="0.3">
      <c r="A845">
        <v>841</v>
      </c>
      <c r="B845" s="25" cm="1">
        <f t="array" ref="B845">loi_canard()</f>
        <v>5</v>
      </c>
      <c r="C845" s="25"/>
    </row>
    <row r="846" spans="1:3" x14ac:dyDescent="0.3">
      <c r="A846">
        <v>842</v>
      </c>
      <c r="B846" s="25" cm="1">
        <f t="array" ref="B846">loi_canard()</f>
        <v>4</v>
      </c>
      <c r="C846" s="25"/>
    </row>
    <row r="847" spans="1:3" x14ac:dyDescent="0.3">
      <c r="A847">
        <v>843</v>
      </c>
      <c r="B847" s="25" cm="1">
        <f t="array" ref="B847">loi_canard()</f>
        <v>4</v>
      </c>
      <c r="C847" s="25"/>
    </row>
    <row r="848" spans="1:3" x14ac:dyDescent="0.3">
      <c r="A848">
        <v>844</v>
      </c>
      <c r="B848" s="25" cm="1">
        <f t="array" ref="B848">loi_canard()</f>
        <v>4</v>
      </c>
      <c r="C848" s="25"/>
    </row>
    <row r="849" spans="1:3" x14ac:dyDescent="0.3">
      <c r="A849">
        <v>845</v>
      </c>
      <c r="B849" s="25" cm="1">
        <f t="array" ref="B849">loi_canard()</f>
        <v>4</v>
      </c>
      <c r="C849" s="25"/>
    </row>
    <row r="850" spans="1:3" x14ac:dyDescent="0.3">
      <c r="A850">
        <v>846</v>
      </c>
      <c r="B850" s="25" cm="1">
        <f t="array" ref="B850">loi_canard()</f>
        <v>3</v>
      </c>
      <c r="C850" s="25"/>
    </row>
    <row r="851" spans="1:3" x14ac:dyDescent="0.3">
      <c r="A851">
        <v>847</v>
      </c>
      <c r="B851" s="25" cm="1">
        <f t="array" ref="B851">loi_canard()</f>
        <v>3</v>
      </c>
      <c r="C851" s="25"/>
    </row>
    <row r="852" spans="1:3" x14ac:dyDescent="0.3">
      <c r="A852">
        <v>848</v>
      </c>
      <c r="B852" s="25" cm="1">
        <f t="array" ref="B852">loi_canard()</f>
        <v>4</v>
      </c>
      <c r="C852" s="25"/>
    </row>
    <row r="853" spans="1:3" x14ac:dyDescent="0.3">
      <c r="A853">
        <v>849</v>
      </c>
      <c r="B853" s="25" cm="1">
        <f t="array" ref="B853">loi_canard()</f>
        <v>4</v>
      </c>
      <c r="C853" s="25"/>
    </row>
    <row r="854" spans="1:3" x14ac:dyDescent="0.3">
      <c r="A854">
        <v>850</v>
      </c>
      <c r="B854" s="25" cm="1">
        <f t="array" ref="B854">loi_canard()</f>
        <v>4</v>
      </c>
      <c r="C854" s="25"/>
    </row>
    <row r="855" spans="1:3" x14ac:dyDescent="0.3">
      <c r="A855">
        <v>851</v>
      </c>
      <c r="B855" s="25" cm="1">
        <f t="array" ref="B855">loi_canard()</f>
        <v>1</v>
      </c>
      <c r="C855" s="25"/>
    </row>
    <row r="856" spans="1:3" x14ac:dyDescent="0.3">
      <c r="A856">
        <v>852</v>
      </c>
      <c r="B856" s="25" cm="1">
        <f t="array" ref="B856">loi_canard()</f>
        <v>5</v>
      </c>
      <c r="C856" s="25"/>
    </row>
    <row r="857" spans="1:3" x14ac:dyDescent="0.3">
      <c r="A857">
        <v>853</v>
      </c>
      <c r="B857" s="25" cm="1">
        <f t="array" ref="B857">loi_canard()</f>
        <v>4</v>
      </c>
      <c r="C857" s="25"/>
    </row>
    <row r="858" spans="1:3" x14ac:dyDescent="0.3">
      <c r="A858">
        <v>854</v>
      </c>
      <c r="B858" s="25" cm="1">
        <f t="array" ref="B858">loi_canard()</f>
        <v>4</v>
      </c>
      <c r="C858" s="25"/>
    </row>
    <row r="859" spans="1:3" x14ac:dyDescent="0.3">
      <c r="A859">
        <v>855</v>
      </c>
      <c r="B859" s="25" cm="1">
        <f t="array" ref="B859">loi_canard()</f>
        <v>5</v>
      </c>
      <c r="C859" s="25"/>
    </row>
    <row r="860" spans="1:3" x14ac:dyDescent="0.3">
      <c r="A860">
        <v>856</v>
      </c>
      <c r="B860" s="25" cm="1">
        <f t="array" ref="B860">loi_canard()</f>
        <v>4</v>
      </c>
      <c r="C860" s="25"/>
    </row>
    <row r="861" spans="1:3" x14ac:dyDescent="0.3">
      <c r="A861">
        <v>857</v>
      </c>
      <c r="B861" s="25" cm="1">
        <f t="array" ref="B861">loi_canard()</f>
        <v>5</v>
      </c>
      <c r="C861" s="25"/>
    </row>
    <row r="862" spans="1:3" x14ac:dyDescent="0.3">
      <c r="A862">
        <v>858</v>
      </c>
      <c r="B862" s="25" cm="1">
        <f t="array" ref="B862">loi_canard()</f>
        <v>3</v>
      </c>
      <c r="C862" s="25"/>
    </row>
    <row r="863" spans="1:3" x14ac:dyDescent="0.3">
      <c r="A863">
        <v>859</v>
      </c>
      <c r="B863" s="25" cm="1">
        <f t="array" ref="B863">loi_canard()</f>
        <v>3</v>
      </c>
      <c r="C863" s="25"/>
    </row>
    <row r="864" spans="1:3" x14ac:dyDescent="0.3">
      <c r="A864">
        <v>860</v>
      </c>
      <c r="B864" s="25" cm="1">
        <f t="array" ref="B864">loi_canard()</f>
        <v>3</v>
      </c>
      <c r="C864" s="25"/>
    </row>
    <row r="865" spans="1:3" x14ac:dyDescent="0.3">
      <c r="A865">
        <v>861</v>
      </c>
      <c r="B865" s="25" cm="1">
        <f t="array" ref="B865">loi_canard()</f>
        <v>3</v>
      </c>
      <c r="C865" s="25"/>
    </row>
    <row r="866" spans="1:3" x14ac:dyDescent="0.3">
      <c r="A866">
        <v>862</v>
      </c>
      <c r="B866" s="25" cm="1">
        <f t="array" ref="B866">loi_canard()</f>
        <v>3</v>
      </c>
      <c r="C866" s="25"/>
    </row>
    <row r="867" spans="1:3" x14ac:dyDescent="0.3">
      <c r="A867">
        <v>863</v>
      </c>
      <c r="B867" s="25" cm="1">
        <f t="array" ref="B867">loi_canard()</f>
        <v>2</v>
      </c>
      <c r="C867" s="25"/>
    </row>
    <row r="868" spans="1:3" x14ac:dyDescent="0.3">
      <c r="A868">
        <v>864</v>
      </c>
      <c r="B868" s="25" cm="1">
        <f t="array" ref="B868">loi_canard()</f>
        <v>3</v>
      </c>
      <c r="C868" s="25"/>
    </row>
    <row r="869" spans="1:3" x14ac:dyDescent="0.3">
      <c r="A869">
        <v>865</v>
      </c>
      <c r="B869" s="25" cm="1">
        <f t="array" ref="B869">loi_canard()</f>
        <v>5</v>
      </c>
      <c r="C869" s="25"/>
    </row>
    <row r="870" spans="1:3" x14ac:dyDescent="0.3">
      <c r="A870">
        <v>866</v>
      </c>
      <c r="B870" s="25" cm="1">
        <f t="array" ref="B870">loi_canard()</f>
        <v>2</v>
      </c>
      <c r="C870" s="25"/>
    </row>
    <row r="871" spans="1:3" x14ac:dyDescent="0.3">
      <c r="A871">
        <v>867</v>
      </c>
      <c r="B871" s="25" cm="1">
        <f t="array" ref="B871">loi_canard()</f>
        <v>4</v>
      </c>
      <c r="C871" s="25"/>
    </row>
    <row r="872" spans="1:3" x14ac:dyDescent="0.3">
      <c r="A872">
        <v>868</v>
      </c>
      <c r="B872" s="25" cm="1">
        <f t="array" ref="B872">loi_canard()</f>
        <v>5</v>
      </c>
      <c r="C872" s="25"/>
    </row>
    <row r="873" spans="1:3" x14ac:dyDescent="0.3">
      <c r="A873">
        <v>869</v>
      </c>
      <c r="B873" s="25" cm="1">
        <f t="array" ref="B873">loi_canard()</f>
        <v>2</v>
      </c>
      <c r="C873" s="25"/>
    </row>
    <row r="874" spans="1:3" x14ac:dyDescent="0.3">
      <c r="A874">
        <v>870</v>
      </c>
      <c r="B874" s="25" cm="1">
        <f t="array" ref="B874">loi_canard()</f>
        <v>4</v>
      </c>
      <c r="C874" s="25"/>
    </row>
    <row r="875" spans="1:3" x14ac:dyDescent="0.3">
      <c r="A875">
        <v>871</v>
      </c>
      <c r="B875" s="25" cm="1">
        <f t="array" ref="B875">loi_canard()</f>
        <v>3</v>
      </c>
      <c r="C875" s="25"/>
    </row>
    <row r="876" spans="1:3" x14ac:dyDescent="0.3">
      <c r="A876">
        <v>872</v>
      </c>
      <c r="B876" s="25" cm="1">
        <f t="array" ref="B876">loi_canard()</f>
        <v>3</v>
      </c>
      <c r="C876" s="25"/>
    </row>
    <row r="877" spans="1:3" x14ac:dyDescent="0.3">
      <c r="A877">
        <v>873</v>
      </c>
      <c r="B877" s="25" cm="1">
        <f t="array" ref="B877">loi_canard()</f>
        <v>2</v>
      </c>
      <c r="C877" s="25"/>
    </row>
    <row r="878" spans="1:3" x14ac:dyDescent="0.3">
      <c r="A878">
        <v>874</v>
      </c>
      <c r="B878" s="25" cm="1">
        <f t="array" ref="B878">loi_canard()</f>
        <v>3</v>
      </c>
      <c r="C878" s="25"/>
    </row>
    <row r="879" spans="1:3" x14ac:dyDescent="0.3">
      <c r="A879">
        <v>875</v>
      </c>
      <c r="B879" s="25" cm="1">
        <f t="array" ref="B879">loi_canard()</f>
        <v>5</v>
      </c>
      <c r="C879" s="25"/>
    </row>
    <row r="880" spans="1:3" x14ac:dyDescent="0.3">
      <c r="A880">
        <v>876</v>
      </c>
      <c r="B880" s="25" cm="1">
        <f t="array" ref="B880">loi_canard()</f>
        <v>3</v>
      </c>
      <c r="C880" s="25"/>
    </row>
    <row r="881" spans="1:3" x14ac:dyDescent="0.3">
      <c r="A881">
        <v>877</v>
      </c>
      <c r="B881" s="25" cm="1">
        <f t="array" ref="B881">loi_canard()</f>
        <v>3</v>
      </c>
      <c r="C881" s="25"/>
    </row>
    <row r="882" spans="1:3" x14ac:dyDescent="0.3">
      <c r="A882">
        <v>878</v>
      </c>
      <c r="B882" s="25" cm="1">
        <f t="array" ref="B882">loi_canard()</f>
        <v>4</v>
      </c>
      <c r="C882" s="25"/>
    </row>
    <row r="883" spans="1:3" x14ac:dyDescent="0.3">
      <c r="A883">
        <v>879</v>
      </c>
      <c r="B883" s="25" cm="1">
        <f t="array" ref="B883">loi_canard()</f>
        <v>3</v>
      </c>
      <c r="C883" s="25"/>
    </row>
    <row r="884" spans="1:3" x14ac:dyDescent="0.3">
      <c r="A884">
        <v>880</v>
      </c>
      <c r="B884" s="25" cm="1">
        <f t="array" ref="B884">loi_canard()</f>
        <v>4</v>
      </c>
      <c r="C884" s="25"/>
    </row>
    <row r="885" spans="1:3" x14ac:dyDescent="0.3">
      <c r="A885">
        <v>881</v>
      </c>
      <c r="B885" s="25" cm="1">
        <f t="array" ref="B885">loi_canard()</f>
        <v>3</v>
      </c>
      <c r="C885" s="25"/>
    </row>
    <row r="886" spans="1:3" x14ac:dyDescent="0.3">
      <c r="A886">
        <v>882</v>
      </c>
      <c r="B886" s="25" cm="1">
        <f t="array" ref="B886">loi_canard()</f>
        <v>3</v>
      </c>
      <c r="C886" s="25"/>
    </row>
    <row r="887" spans="1:3" x14ac:dyDescent="0.3">
      <c r="A887">
        <v>883</v>
      </c>
      <c r="B887" s="25" cm="1">
        <f t="array" ref="B887">loi_canard()</f>
        <v>3</v>
      </c>
      <c r="C887" s="25"/>
    </row>
    <row r="888" spans="1:3" x14ac:dyDescent="0.3">
      <c r="A888">
        <v>884</v>
      </c>
      <c r="B888" s="25" cm="1">
        <f t="array" ref="B888">loi_canard()</f>
        <v>3</v>
      </c>
      <c r="C888" s="25"/>
    </row>
    <row r="889" spans="1:3" x14ac:dyDescent="0.3">
      <c r="A889">
        <v>885</v>
      </c>
      <c r="B889" s="25" cm="1">
        <f t="array" ref="B889">loi_canard()</f>
        <v>3</v>
      </c>
      <c r="C889" s="25"/>
    </row>
    <row r="890" spans="1:3" x14ac:dyDescent="0.3">
      <c r="A890">
        <v>886</v>
      </c>
      <c r="B890" s="25" cm="1">
        <f t="array" ref="B890">loi_canard()</f>
        <v>3</v>
      </c>
      <c r="C890" s="25"/>
    </row>
    <row r="891" spans="1:3" x14ac:dyDescent="0.3">
      <c r="A891">
        <v>887</v>
      </c>
      <c r="B891" s="25" cm="1">
        <f t="array" ref="B891">loi_canard()</f>
        <v>4</v>
      </c>
      <c r="C891" s="25"/>
    </row>
    <row r="892" spans="1:3" x14ac:dyDescent="0.3">
      <c r="A892">
        <v>888</v>
      </c>
      <c r="B892" s="25" cm="1">
        <f t="array" ref="B892">loi_canard()</f>
        <v>3</v>
      </c>
      <c r="C892" s="25"/>
    </row>
    <row r="893" spans="1:3" x14ac:dyDescent="0.3">
      <c r="A893">
        <v>889</v>
      </c>
      <c r="B893" s="25" cm="1">
        <f t="array" ref="B893">loi_canard()</f>
        <v>3</v>
      </c>
      <c r="C893" s="25"/>
    </row>
    <row r="894" spans="1:3" x14ac:dyDescent="0.3">
      <c r="A894">
        <v>890</v>
      </c>
      <c r="B894" s="25" cm="1">
        <f t="array" ref="B894">loi_canard()</f>
        <v>5</v>
      </c>
      <c r="C894" s="25"/>
    </row>
    <row r="895" spans="1:3" x14ac:dyDescent="0.3">
      <c r="A895">
        <v>891</v>
      </c>
      <c r="B895" s="25" cm="1">
        <f t="array" ref="B895">loi_canard()</f>
        <v>4</v>
      </c>
      <c r="C895" s="25"/>
    </row>
    <row r="896" spans="1:3" x14ac:dyDescent="0.3">
      <c r="A896">
        <v>892</v>
      </c>
      <c r="B896" s="25" cm="1">
        <f t="array" ref="B896">loi_canard()</f>
        <v>4</v>
      </c>
      <c r="C896" s="25"/>
    </row>
    <row r="897" spans="1:3" x14ac:dyDescent="0.3">
      <c r="A897">
        <v>893</v>
      </c>
      <c r="B897" s="25" cm="1">
        <f t="array" ref="B897">loi_canard()</f>
        <v>5</v>
      </c>
      <c r="C897" s="25"/>
    </row>
    <row r="898" spans="1:3" x14ac:dyDescent="0.3">
      <c r="A898">
        <v>894</v>
      </c>
      <c r="B898" s="25" cm="1">
        <f t="array" ref="B898">loi_canard()</f>
        <v>3</v>
      </c>
      <c r="C898" s="25"/>
    </row>
    <row r="899" spans="1:3" x14ac:dyDescent="0.3">
      <c r="A899">
        <v>895</v>
      </c>
      <c r="B899" s="25" cm="1">
        <f t="array" ref="B899">loi_canard()</f>
        <v>4</v>
      </c>
      <c r="C899" s="25"/>
    </row>
    <row r="900" spans="1:3" x14ac:dyDescent="0.3">
      <c r="A900">
        <v>896</v>
      </c>
      <c r="B900" s="25" cm="1">
        <f t="array" ref="B900">loi_canard()</f>
        <v>2</v>
      </c>
      <c r="C900" s="25"/>
    </row>
    <row r="901" spans="1:3" x14ac:dyDescent="0.3">
      <c r="A901">
        <v>897</v>
      </c>
      <c r="B901" s="25" cm="1">
        <f t="array" ref="B901">loi_canard()</f>
        <v>3</v>
      </c>
      <c r="C901" s="25"/>
    </row>
    <row r="902" spans="1:3" x14ac:dyDescent="0.3">
      <c r="A902">
        <v>898</v>
      </c>
      <c r="B902" s="25" cm="1">
        <f t="array" ref="B902">loi_canard()</f>
        <v>4</v>
      </c>
      <c r="C902" s="25"/>
    </row>
    <row r="903" spans="1:3" x14ac:dyDescent="0.3">
      <c r="A903">
        <v>899</v>
      </c>
      <c r="B903" s="25" cm="1">
        <f t="array" ref="B903">loi_canard()</f>
        <v>3</v>
      </c>
      <c r="C903" s="25"/>
    </row>
    <row r="904" spans="1:3" x14ac:dyDescent="0.3">
      <c r="A904">
        <v>900</v>
      </c>
      <c r="B904" s="25" cm="1">
        <f t="array" ref="B904">loi_canard()</f>
        <v>5</v>
      </c>
      <c r="C904" s="25"/>
    </row>
    <row r="905" spans="1:3" x14ac:dyDescent="0.3">
      <c r="A905">
        <v>901</v>
      </c>
      <c r="B905" s="25" cm="1">
        <f t="array" ref="B905">loi_canard()</f>
        <v>3</v>
      </c>
      <c r="C905" s="25"/>
    </row>
    <row r="906" spans="1:3" x14ac:dyDescent="0.3">
      <c r="A906">
        <v>902</v>
      </c>
      <c r="B906" s="25" cm="1">
        <f t="array" ref="B906">loi_canard()</f>
        <v>3</v>
      </c>
      <c r="C906" s="25"/>
    </row>
    <row r="907" spans="1:3" x14ac:dyDescent="0.3">
      <c r="A907">
        <v>903</v>
      </c>
      <c r="B907" s="25" cm="1">
        <f t="array" ref="B907">loi_canard()</f>
        <v>3</v>
      </c>
      <c r="C907" s="25"/>
    </row>
    <row r="908" spans="1:3" x14ac:dyDescent="0.3">
      <c r="A908">
        <v>904</v>
      </c>
      <c r="B908" s="25" cm="1">
        <f t="array" ref="B908">loi_canard()</f>
        <v>3</v>
      </c>
      <c r="C908" s="25"/>
    </row>
    <row r="909" spans="1:3" x14ac:dyDescent="0.3">
      <c r="A909">
        <v>905</v>
      </c>
      <c r="B909" s="25" cm="1">
        <f t="array" ref="B909">loi_canard()</f>
        <v>3</v>
      </c>
      <c r="C909" s="25"/>
    </row>
    <row r="910" spans="1:3" x14ac:dyDescent="0.3">
      <c r="A910">
        <v>906</v>
      </c>
      <c r="B910" s="25" cm="1">
        <f t="array" ref="B910">loi_canard()</f>
        <v>4</v>
      </c>
      <c r="C910" s="25"/>
    </row>
    <row r="911" spans="1:3" x14ac:dyDescent="0.3">
      <c r="A911">
        <v>907</v>
      </c>
      <c r="B911" s="25" cm="1">
        <f t="array" ref="B911">loi_canard()</f>
        <v>3</v>
      </c>
      <c r="C911" s="25"/>
    </row>
    <row r="912" spans="1:3" x14ac:dyDescent="0.3">
      <c r="A912">
        <v>908</v>
      </c>
      <c r="B912" s="25" cm="1">
        <f t="array" ref="B912">loi_canard()</f>
        <v>4</v>
      </c>
      <c r="C912" s="25"/>
    </row>
    <row r="913" spans="1:3" x14ac:dyDescent="0.3">
      <c r="A913">
        <v>909</v>
      </c>
      <c r="B913" s="25" cm="1">
        <f t="array" ref="B913">loi_canard()</f>
        <v>3</v>
      </c>
      <c r="C913" s="25"/>
    </row>
    <row r="914" spans="1:3" x14ac:dyDescent="0.3">
      <c r="A914">
        <v>910</v>
      </c>
      <c r="B914" s="25" cm="1">
        <f t="array" ref="B914">loi_canard()</f>
        <v>2</v>
      </c>
      <c r="C914" s="25"/>
    </row>
    <row r="915" spans="1:3" x14ac:dyDescent="0.3">
      <c r="A915">
        <v>911</v>
      </c>
      <c r="B915" s="25" cm="1">
        <f t="array" ref="B915">loi_canard()</f>
        <v>5</v>
      </c>
      <c r="C915" s="25"/>
    </row>
    <row r="916" spans="1:3" x14ac:dyDescent="0.3">
      <c r="A916">
        <v>912</v>
      </c>
      <c r="B916" s="25" cm="1">
        <f t="array" ref="B916">loi_canard()</f>
        <v>4</v>
      </c>
      <c r="C916" s="25"/>
    </row>
    <row r="917" spans="1:3" x14ac:dyDescent="0.3">
      <c r="A917">
        <v>913</v>
      </c>
      <c r="B917" s="25" cm="1">
        <f t="array" ref="B917">loi_canard()</f>
        <v>4</v>
      </c>
      <c r="C917" s="25"/>
    </row>
    <row r="918" spans="1:3" x14ac:dyDescent="0.3">
      <c r="A918">
        <v>914</v>
      </c>
      <c r="B918" s="25" cm="1">
        <f t="array" ref="B918">loi_canard()</f>
        <v>3</v>
      </c>
      <c r="C918" s="25"/>
    </row>
    <row r="919" spans="1:3" x14ac:dyDescent="0.3">
      <c r="A919">
        <v>915</v>
      </c>
      <c r="B919" s="25" cm="1">
        <f t="array" ref="B919">loi_canard()</f>
        <v>3</v>
      </c>
      <c r="C919" s="25"/>
    </row>
    <row r="920" spans="1:3" x14ac:dyDescent="0.3">
      <c r="A920">
        <v>916</v>
      </c>
      <c r="B920" s="25" cm="1">
        <f t="array" ref="B920">loi_canard()</f>
        <v>4</v>
      </c>
      <c r="C920" s="25"/>
    </row>
    <row r="921" spans="1:3" x14ac:dyDescent="0.3">
      <c r="A921">
        <v>917</v>
      </c>
      <c r="B921" s="25" cm="1">
        <f t="array" ref="B921">loi_canard()</f>
        <v>3</v>
      </c>
      <c r="C921" s="25"/>
    </row>
    <row r="922" spans="1:3" x14ac:dyDescent="0.3">
      <c r="A922">
        <v>918</v>
      </c>
      <c r="B922" s="25" cm="1">
        <f t="array" ref="B922">loi_canard()</f>
        <v>2</v>
      </c>
      <c r="C922" s="25"/>
    </row>
    <row r="923" spans="1:3" x14ac:dyDescent="0.3">
      <c r="A923">
        <v>919</v>
      </c>
      <c r="B923" s="25" cm="1">
        <f t="array" ref="B923">loi_canard()</f>
        <v>4</v>
      </c>
      <c r="C923" s="25"/>
    </row>
    <row r="924" spans="1:3" x14ac:dyDescent="0.3">
      <c r="A924">
        <v>920</v>
      </c>
      <c r="B924" s="25" cm="1">
        <f t="array" ref="B924">loi_canard()</f>
        <v>4</v>
      </c>
      <c r="C924" s="25"/>
    </row>
    <row r="925" spans="1:3" x14ac:dyDescent="0.3">
      <c r="A925">
        <v>921</v>
      </c>
      <c r="B925" s="25" cm="1">
        <f t="array" ref="B925">loi_canard()</f>
        <v>4</v>
      </c>
      <c r="C925" s="25"/>
    </row>
    <row r="926" spans="1:3" x14ac:dyDescent="0.3">
      <c r="A926">
        <v>922</v>
      </c>
      <c r="B926" s="25" cm="1">
        <f t="array" ref="B926">loi_canard()</f>
        <v>4</v>
      </c>
      <c r="C926" s="25"/>
    </row>
    <row r="927" spans="1:3" x14ac:dyDescent="0.3">
      <c r="A927">
        <v>923</v>
      </c>
      <c r="B927" s="25" cm="1">
        <f t="array" ref="B927">loi_canard()</f>
        <v>4</v>
      </c>
      <c r="C927" s="25"/>
    </row>
    <row r="928" spans="1:3" x14ac:dyDescent="0.3">
      <c r="A928">
        <v>924</v>
      </c>
      <c r="B928" s="25" cm="1">
        <f t="array" ref="B928">loi_canard()</f>
        <v>3</v>
      </c>
      <c r="C928" s="25"/>
    </row>
    <row r="929" spans="1:3" x14ac:dyDescent="0.3">
      <c r="A929">
        <v>925</v>
      </c>
      <c r="B929" s="25" cm="1">
        <f t="array" ref="B929">loi_canard()</f>
        <v>5</v>
      </c>
      <c r="C929" s="25"/>
    </row>
    <row r="930" spans="1:3" x14ac:dyDescent="0.3">
      <c r="A930">
        <v>926</v>
      </c>
      <c r="B930" s="25" cm="1">
        <f t="array" ref="B930">loi_canard()</f>
        <v>3</v>
      </c>
      <c r="C930" s="25"/>
    </row>
    <row r="931" spans="1:3" x14ac:dyDescent="0.3">
      <c r="A931">
        <v>927</v>
      </c>
      <c r="B931" s="25" cm="1">
        <f t="array" ref="B931">loi_canard()</f>
        <v>4</v>
      </c>
      <c r="C931" s="25"/>
    </row>
    <row r="932" spans="1:3" x14ac:dyDescent="0.3">
      <c r="A932">
        <v>928</v>
      </c>
      <c r="B932" s="25" cm="1">
        <f t="array" ref="B932">loi_canard()</f>
        <v>3</v>
      </c>
      <c r="C932" s="25"/>
    </row>
    <row r="933" spans="1:3" x14ac:dyDescent="0.3">
      <c r="A933">
        <v>929</v>
      </c>
      <c r="B933" s="25" cm="1">
        <f t="array" ref="B933">loi_canard()</f>
        <v>3</v>
      </c>
      <c r="C933" s="25"/>
    </row>
    <row r="934" spans="1:3" x14ac:dyDescent="0.3">
      <c r="A934">
        <v>930</v>
      </c>
      <c r="B934" s="25" cm="1">
        <f t="array" ref="B934">loi_canard()</f>
        <v>5</v>
      </c>
      <c r="C934" s="25"/>
    </row>
    <row r="935" spans="1:3" x14ac:dyDescent="0.3">
      <c r="A935">
        <v>931</v>
      </c>
      <c r="B935" s="25" cm="1">
        <f t="array" ref="B935">loi_canard()</f>
        <v>4</v>
      </c>
      <c r="C935" s="25"/>
    </row>
    <row r="936" spans="1:3" x14ac:dyDescent="0.3">
      <c r="A936">
        <v>932</v>
      </c>
      <c r="B936" s="25" cm="1">
        <f t="array" ref="B936">loi_canard()</f>
        <v>3</v>
      </c>
      <c r="C936" s="25"/>
    </row>
    <row r="937" spans="1:3" x14ac:dyDescent="0.3">
      <c r="A937">
        <v>933</v>
      </c>
      <c r="B937" s="25" cm="1">
        <f t="array" ref="B937">loi_canard()</f>
        <v>4</v>
      </c>
      <c r="C937" s="25"/>
    </row>
    <row r="938" spans="1:3" x14ac:dyDescent="0.3">
      <c r="A938">
        <v>934</v>
      </c>
      <c r="B938" s="25" cm="1">
        <f t="array" ref="B938">loi_canard()</f>
        <v>4</v>
      </c>
      <c r="C938" s="25"/>
    </row>
    <row r="939" spans="1:3" x14ac:dyDescent="0.3">
      <c r="A939">
        <v>935</v>
      </c>
      <c r="B939" s="25" cm="1">
        <f t="array" ref="B939">loi_canard()</f>
        <v>2</v>
      </c>
      <c r="C939" s="25"/>
    </row>
    <row r="940" spans="1:3" x14ac:dyDescent="0.3">
      <c r="A940">
        <v>936</v>
      </c>
      <c r="B940" s="25" cm="1">
        <f t="array" ref="B940">loi_canard()</f>
        <v>3</v>
      </c>
      <c r="C940" s="25"/>
    </row>
    <row r="941" spans="1:3" x14ac:dyDescent="0.3">
      <c r="A941">
        <v>937</v>
      </c>
      <c r="B941" s="25" cm="1">
        <f t="array" ref="B941">loi_canard()</f>
        <v>5</v>
      </c>
      <c r="C941" s="25"/>
    </row>
    <row r="942" spans="1:3" x14ac:dyDescent="0.3">
      <c r="A942">
        <v>938</v>
      </c>
      <c r="B942" s="25" cm="1">
        <f t="array" ref="B942">loi_canard()</f>
        <v>2</v>
      </c>
      <c r="C942" s="25"/>
    </row>
    <row r="943" spans="1:3" x14ac:dyDescent="0.3">
      <c r="A943">
        <v>939</v>
      </c>
      <c r="B943" s="25" cm="1">
        <f t="array" ref="B943">loi_canard()</f>
        <v>5</v>
      </c>
      <c r="C943" s="25"/>
    </row>
    <row r="944" spans="1:3" x14ac:dyDescent="0.3">
      <c r="A944">
        <v>940</v>
      </c>
      <c r="B944" s="25" cm="1">
        <f t="array" ref="B944">loi_canard()</f>
        <v>3</v>
      </c>
      <c r="C944" s="25"/>
    </row>
    <row r="945" spans="1:3" x14ac:dyDescent="0.3">
      <c r="A945">
        <v>941</v>
      </c>
      <c r="B945" s="25" cm="1">
        <f t="array" ref="B945">loi_canard()</f>
        <v>3</v>
      </c>
      <c r="C945" s="25"/>
    </row>
    <row r="946" spans="1:3" x14ac:dyDescent="0.3">
      <c r="A946">
        <v>942</v>
      </c>
      <c r="B946" s="25" cm="1">
        <f t="array" ref="B946">loi_canard()</f>
        <v>2</v>
      </c>
      <c r="C946" s="25"/>
    </row>
    <row r="947" spans="1:3" x14ac:dyDescent="0.3">
      <c r="A947">
        <v>943</v>
      </c>
      <c r="B947" s="25" cm="1">
        <f t="array" ref="B947">loi_canard()</f>
        <v>4</v>
      </c>
      <c r="C947" s="25"/>
    </row>
    <row r="948" spans="1:3" x14ac:dyDescent="0.3">
      <c r="A948">
        <v>944</v>
      </c>
      <c r="B948" s="25" cm="1">
        <f t="array" ref="B948">loi_canard()</f>
        <v>3</v>
      </c>
      <c r="C948" s="25"/>
    </row>
    <row r="949" spans="1:3" x14ac:dyDescent="0.3">
      <c r="A949">
        <v>945</v>
      </c>
      <c r="B949" s="25" cm="1">
        <f t="array" ref="B949">loi_canard()</f>
        <v>4</v>
      </c>
      <c r="C949" s="25"/>
    </row>
    <row r="950" spans="1:3" x14ac:dyDescent="0.3">
      <c r="A950">
        <v>946</v>
      </c>
      <c r="B950" s="25" cm="1">
        <f t="array" ref="B950">loi_canard()</f>
        <v>2</v>
      </c>
      <c r="C950" s="25"/>
    </row>
    <row r="951" spans="1:3" x14ac:dyDescent="0.3">
      <c r="A951">
        <v>947</v>
      </c>
      <c r="B951" s="25" cm="1">
        <f t="array" ref="B951">loi_canard()</f>
        <v>3</v>
      </c>
      <c r="C951" s="25"/>
    </row>
    <row r="952" spans="1:3" x14ac:dyDescent="0.3">
      <c r="A952">
        <v>948</v>
      </c>
      <c r="B952" s="25" cm="1">
        <f t="array" ref="B952">loi_canard()</f>
        <v>2</v>
      </c>
      <c r="C952" s="25"/>
    </row>
    <row r="953" spans="1:3" x14ac:dyDescent="0.3">
      <c r="A953">
        <v>949</v>
      </c>
      <c r="B953" s="25" cm="1">
        <f t="array" ref="B953">loi_canard()</f>
        <v>2</v>
      </c>
      <c r="C953" s="25"/>
    </row>
    <row r="954" spans="1:3" x14ac:dyDescent="0.3">
      <c r="A954">
        <v>950</v>
      </c>
      <c r="B954" s="25" cm="1">
        <f t="array" ref="B954">loi_canard()</f>
        <v>3</v>
      </c>
      <c r="C954" s="25"/>
    </row>
    <row r="955" spans="1:3" x14ac:dyDescent="0.3">
      <c r="A955">
        <v>951</v>
      </c>
      <c r="B955" s="25" cm="1">
        <f t="array" ref="B955">loi_canard()</f>
        <v>3</v>
      </c>
      <c r="C955" s="25"/>
    </row>
    <row r="956" spans="1:3" x14ac:dyDescent="0.3">
      <c r="A956">
        <v>952</v>
      </c>
      <c r="B956" s="25" cm="1">
        <f t="array" ref="B956">loi_canard()</f>
        <v>4</v>
      </c>
      <c r="C956" s="25"/>
    </row>
    <row r="957" spans="1:3" x14ac:dyDescent="0.3">
      <c r="A957">
        <v>953</v>
      </c>
      <c r="B957" s="25" cm="1">
        <f t="array" ref="B957">loi_canard()</f>
        <v>3</v>
      </c>
      <c r="C957" s="25"/>
    </row>
    <row r="958" spans="1:3" x14ac:dyDescent="0.3">
      <c r="A958">
        <v>954</v>
      </c>
      <c r="B958" s="25" cm="1">
        <f t="array" ref="B958">loi_canard()</f>
        <v>4</v>
      </c>
      <c r="C958" s="25"/>
    </row>
    <row r="959" spans="1:3" x14ac:dyDescent="0.3">
      <c r="A959">
        <v>955</v>
      </c>
      <c r="B959" s="25" cm="1">
        <f t="array" ref="B959">loi_canard()</f>
        <v>2</v>
      </c>
      <c r="C959" s="25"/>
    </row>
    <row r="960" spans="1:3" x14ac:dyDescent="0.3">
      <c r="A960">
        <v>956</v>
      </c>
      <c r="B960" s="25" cm="1">
        <f t="array" ref="B960">loi_canard()</f>
        <v>4</v>
      </c>
      <c r="C960" s="25"/>
    </row>
    <row r="961" spans="1:3" x14ac:dyDescent="0.3">
      <c r="A961">
        <v>957</v>
      </c>
      <c r="B961" s="25" cm="1">
        <f t="array" ref="B961">loi_canard()</f>
        <v>4</v>
      </c>
      <c r="C961" s="25"/>
    </row>
    <row r="962" spans="1:3" x14ac:dyDescent="0.3">
      <c r="A962">
        <v>958</v>
      </c>
      <c r="B962" s="25" cm="1">
        <f t="array" ref="B962">loi_canard()</f>
        <v>5</v>
      </c>
      <c r="C962" s="25"/>
    </row>
    <row r="963" spans="1:3" x14ac:dyDescent="0.3">
      <c r="A963">
        <v>959</v>
      </c>
      <c r="B963" s="25" cm="1">
        <f t="array" ref="B963">loi_canard()</f>
        <v>3</v>
      </c>
      <c r="C963" s="25"/>
    </row>
    <row r="964" spans="1:3" x14ac:dyDescent="0.3">
      <c r="A964">
        <v>960</v>
      </c>
      <c r="B964" s="25" cm="1">
        <f t="array" ref="B964">loi_canard()</f>
        <v>3</v>
      </c>
      <c r="C964" s="25"/>
    </row>
    <row r="965" spans="1:3" x14ac:dyDescent="0.3">
      <c r="A965">
        <v>961</v>
      </c>
      <c r="B965" s="25" cm="1">
        <f t="array" ref="B965">loi_canard()</f>
        <v>3</v>
      </c>
      <c r="C965" s="25"/>
    </row>
    <row r="966" spans="1:3" x14ac:dyDescent="0.3">
      <c r="A966">
        <v>962</v>
      </c>
      <c r="B966" s="25" cm="1">
        <f t="array" ref="B966">loi_canard()</f>
        <v>4</v>
      </c>
      <c r="C966" s="25"/>
    </row>
    <row r="967" spans="1:3" x14ac:dyDescent="0.3">
      <c r="A967">
        <v>963</v>
      </c>
      <c r="B967" s="25" cm="1">
        <f t="array" ref="B967">loi_canard()</f>
        <v>3</v>
      </c>
      <c r="C967" s="25"/>
    </row>
    <row r="968" spans="1:3" x14ac:dyDescent="0.3">
      <c r="A968">
        <v>964</v>
      </c>
      <c r="B968" s="25" cm="1">
        <f t="array" ref="B968">loi_canard()</f>
        <v>4</v>
      </c>
      <c r="C968" s="25"/>
    </row>
    <row r="969" spans="1:3" x14ac:dyDescent="0.3">
      <c r="A969">
        <v>965</v>
      </c>
      <c r="B969" s="25" cm="1">
        <f t="array" ref="B969">loi_canard()</f>
        <v>5</v>
      </c>
      <c r="C969" s="25"/>
    </row>
    <row r="970" spans="1:3" x14ac:dyDescent="0.3">
      <c r="A970">
        <v>966</v>
      </c>
      <c r="B970" s="25" cm="1">
        <f t="array" ref="B970">loi_canard()</f>
        <v>2</v>
      </c>
      <c r="C970" s="25"/>
    </row>
    <row r="971" spans="1:3" x14ac:dyDescent="0.3">
      <c r="A971">
        <v>967</v>
      </c>
      <c r="B971" s="25" cm="1">
        <f t="array" ref="B971">loi_canard()</f>
        <v>4</v>
      </c>
      <c r="C971" s="25"/>
    </row>
    <row r="972" spans="1:3" x14ac:dyDescent="0.3">
      <c r="A972">
        <v>968</v>
      </c>
      <c r="B972" s="25" cm="1">
        <f t="array" ref="B972">loi_canard()</f>
        <v>5</v>
      </c>
      <c r="C972" s="25"/>
    </row>
    <row r="973" spans="1:3" x14ac:dyDescent="0.3">
      <c r="A973">
        <v>969</v>
      </c>
      <c r="B973" s="25" cm="1">
        <f t="array" ref="B973">loi_canard()</f>
        <v>3</v>
      </c>
      <c r="C973" s="25"/>
    </row>
    <row r="974" spans="1:3" x14ac:dyDescent="0.3">
      <c r="A974">
        <v>970</v>
      </c>
      <c r="B974" s="25" cm="1">
        <f t="array" ref="B974">loi_canard()</f>
        <v>5</v>
      </c>
      <c r="C974" s="25"/>
    </row>
    <row r="975" spans="1:3" x14ac:dyDescent="0.3">
      <c r="A975">
        <v>971</v>
      </c>
      <c r="B975" s="25" cm="1">
        <f t="array" ref="B975">loi_canard()</f>
        <v>3</v>
      </c>
      <c r="C975" s="25"/>
    </row>
    <row r="976" spans="1:3" x14ac:dyDescent="0.3">
      <c r="A976">
        <v>972</v>
      </c>
      <c r="B976" s="25" cm="1">
        <f t="array" ref="B976">loi_canard()</f>
        <v>4</v>
      </c>
      <c r="C976" s="25"/>
    </row>
    <row r="977" spans="1:3" x14ac:dyDescent="0.3">
      <c r="A977">
        <v>973</v>
      </c>
      <c r="B977" s="25" cm="1">
        <f t="array" ref="B977">loi_canard()</f>
        <v>5</v>
      </c>
      <c r="C977" s="25"/>
    </row>
    <row r="978" spans="1:3" x14ac:dyDescent="0.3">
      <c r="A978">
        <v>974</v>
      </c>
      <c r="B978" s="25" cm="1">
        <f t="array" ref="B978">loi_canard()</f>
        <v>4</v>
      </c>
      <c r="C978" s="25"/>
    </row>
    <row r="979" spans="1:3" x14ac:dyDescent="0.3">
      <c r="A979">
        <v>975</v>
      </c>
      <c r="B979" s="25" cm="1">
        <f t="array" ref="B979">loi_canard()</f>
        <v>3</v>
      </c>
      <c r="C979" s="25"/>
    </row>
    <row r="980" spans="1:3" x14ac:dyDescent="0.3">
      <c r="A980">
        <v>976</v>
      </c>
      <c r="B980" s="25" cm="1">
        <f t="array" ref="B980">loi_canard()</f>
        <v>2</v>
      </c>
      <c r="C980" s="25"/>
    </row>
    <row r="981" spans="1:3" x14ac:dyDescent="0.3">
      <c r="A981">
        <v>977</v>
      </c>
      <c r="B981" s="25" cm="1">
        <f t="array" ref="B981">loi_canard()</f>
        <v>2</v>
      </c>
      <c r="C981" s="25"/>
    </row>
    <row r="982" spans="1:3" x14ac:dyDescent="0.3">
      <c r="A982">
        <v>978</v>
      </c>
      <c r="B982" s="25" cm="1">
        <f t="array" ref="B982">loi_canard()</f>
        <v>2</v>
      </c>
      <c r="C982" s="25"/>
    </row>
    <row r="983" spans="1:3" x14ac:dyDescent="0.3">
      <c r="A983">
        <v>979</v>
      </c>
      <c r="B983" s="25" cm="1">
        <f t="array" ref="B983">loi_canard()</f>
        <v>5</v>
      </c>
      <c r="C983" s="25"/>
    </row>
    <row r="984" spans="1:3" x14ac:dyDescent="0.3">
      <c r="A984">
        <v>980</v>
      </c>
      <c r="B984" s="25" cm="1">
        <f t="array" ref="B984">loi_canard()</f>
        <v>1</v>
      </c>
      <c r="C984" s="25"/>
    </row>
    <row r="985" spans="1:3" x14ac:dyDescent="0.3">
      <c r="A985">
        <v>981</v>
      </c>
      <c r="B985" s="25" cm="1">
        <f t="array" ref="B985">loi_canard()</f>
        <v>6</v>
      </c>
      <c r="C985" s="25"/>
    </row>
    <row r="986" spans="1:3" x14ac:dyDescent="0.3">
      <c r="A986">
        <v>982</v>
      </c>
      <c r="B986" s="25" cm="1">
        <f t="array" ref="B986">loi_canard()</f>
        <v>3</v>
      </c>
      <c r="C986" s="25"/>
    </row>
    <row r="987" spans="1:3" x14ac:dyDescent="0.3">
      <c r="A987">
        <v>983</v>
      </c>
      <c r="B987" s="25" cm="1">
        <f t="array" ref="B987">loi_canard()</f>
        <v>3</v>
      </c>
      <c r="C987" s="25"/>
    </row>
    <row r="988" spans="1:3" x14ac:dyDescent="0.3">
      <c r="A988">
        <v>984</v>
      </c>
      <c r="B988" s="25" cm="1">
        <f t="array" ref="B988">loi_canard()</f>
        <v>5</v>
      </c>
      <c r="C988" s="25"/>
    </row>
    <row r="989" spans="1:3" x14ac:dyDescent="0.3">
      <c r="A989">
        <v>985</v>
      </c>
      <c r="B989" s="25" cm="1">
        <f t="array" ref="B989">loi_canard()</f>
        <v>3</v>
      </c>
      <c r="C989" s="25"/>
    </row>
    <row r="990" spans="1:3" x14ac:dyDescent="0.3">
      <c r="A990">
        <v>986</v>
      </c>
      <c r="B990" s="25" cm="1">
        <f t="array" ref="B990">loi_canard()</f>
        <v>5</v>
      </c>
      <c r="C990" s="25"/>
    </row>
    <row r="991" spans="1:3" x14ac:dyDescent="0.3">
      <c r="A991">
        <v>987</v>
      </c>
      <c r="B991" s="25" cm="1">
        <f t="array" ref="B991">loi_canard()</f>
        <v>4</v>
      </c>
      <c r="C991" s="25"/>
    </row>
    <row r="992" spans="1:3" x14ac:dyDescent="0.3">
      <c r="A992">
        <v>988</v>
      </c>
      <c r="B992" s="25" cm="1">
        <f t="array" ref="B992">loi_canard()</f>
        <v>5</v>
      </c>
      <c r="C992" s="25"/>
    </row>
    <row r="993" spans="1:3" x14ac:dyDescent="0.3">
      <c r="A993">
        <v>989</v>
      </c>
      <c r="B993" s="25" cm="1">
        <f t="array" ref="B993">loi_canard()</f>
        <v>4</v>
      </c>
      <c r="C993" s="25"/>
    </row>
    <row r="994" spans="1:3" x14ac:dyDescent="0.3">
      <c r="A994">
        <v>990</v>
      </c>
      <c r="B994" s="25" cm="1">
        <f t="array" ref="B994">loi_canard()</f>
        <v>4</v>
      </c>
      <c r="C994" s="25"/>
    </row>
    <row r="995" spans="1:3" x14ac:dyDescent="0.3">
      <c r="A995">
        <v>991</v>
      </c>
      <c r="B995" s="25" cm="1">
        <f t="array" ref="B995">loi_canard()</f>
        <v>4</v>
      </c>
      <c r="C995" s="25"/>
    </row>
    <row r="996" spans="1:3" x14ac:dyDescent="0.3">
      <c r="A996">
        <v>992</v>
      </c>
      <c r="B996" s="25" cm="1">
        <f t="array" ref="B996">loi_canard()</f>
        <v>4</v>
      </c>
      <c r="C996" s="25"/>
    </row>
    <row r="997" spans="1:3" x14ac:dyDescent="0.3">
      <c r="A997">
        <v>993</v>
      </c>
      <c r="B997" s="25" cm="1">
        <f t="array" ref="B997">loi_canard()</f>
        <v>3</v>
      </c>
      <c r="C997" s="25"/>
    </row>
    <row r="998" spans="1:3" x14ac:dyDescent="0.3">
      <c r="A998">
        <v>994</v>
      </c>
      <c r="B998" s="25" cm="1">
        <f t="array" ref="B998">loi_canard()</f>
        <v>3</v>
      </c>
      <c r="C998" s="25"/>
    </row>
    <row r="999" spans="1:3" x14ac:dyDescent="0.3">
      <c r="A999">
        <v>995</v>
      </c>
      <c r="B999" s="25" cm="1">
        <f t="array" ref="B999">loi_canard()</f>
        <v>4</v>
      </c>
      <c r="C999" s="25"/>
    </row>
    <row r="1000" spans="1:3" x14ac:dyDescent="0.3">
      <c r="A1000">
        <v>996</v>
      </c>
      <c r="B1000" s="25" cm="1">
        <f t="array" ref="B1000">loi_canard()</f>
        <v>3</v>
      </c>
      <c r="C1000" s="25"/>
    </row>
    <row r="1001" spans="1:3" x14ac:dyDescent="0.3">
      <c r="A1001">
        <v>997</v>
      </c>
      <c r="B1001" s="25" cm="1">
        <f t="array" ref="B1001">loi_canard()</f>
        <v>3</v>
      </c>
      <c r="C1001" s="25"/>
    </row>
    <row r="1002" spans="1:3" x14ac:dyDescent="0.3">
      <c r="A1002">
        <v>998</v>
      </c>
      <c r="B1002" s="25" cm="1">
        <f t="array" ref="B1002">loi_canard()</f>
        <v>4</v>
      </c>
      <c r="C1002" s="25"/>
    </row>
    <row r="1003" spans="1:3" x14ac:dyDescent="0.3">
      <c r="A1003">
        <v>999</v>
      </c>
      <c r="B1003" s="25" cm="1">
        <f t="array" ref="B1003">loi_canard()</f>
        <v>1</v>
      </c>
      <c r="C1003" s="25"/>
    </row>
    <row r="1004" spans="1:3" x14ac:dyDescent="0.3">
      <c r="A1004">
        <v>1000</v>
      </c>
      <c r="B1004" s="25" cm="1">
        <f t="array" ref="B1004">loi_canard()</f>
        <v>3</v>
      </c>
      <c r="C1004" s="25"/>
    </row>
  </sheetData>
  <mergeCells count="1001">
    <mergeCell ref="B1004:C1004"/>
    <mergeCell ref="B998:C998"/>
    <mergeCell ref="B999:C999"/>
    <mergeCell ref="B1000:C1000"/>
    <mergeCell ref="B1001:C1001"/>
    <mergeCell ref="B1002:C1002"/>
    <mergeCell ref="B1003:C1003"/>
    <mergeCell ref="B992:C992"/>
    <mergeCell ref="B993:C993"/>
    <mergeCell ref="B994:C994"/>
    <mergeCell ref="B995:C995"/>
    <mergeCell ref="B996:C996"/>
    <mergeCell ref="B997:C997"/>
    <mergeCell ref="B986:C986"/>
    <mergeCell ref="B987:C987"/>
    <mergeCell ref="B988:C988"/>
    <mergeCell ref="B989:C989"/>
    <mergeCell ref="B990:C990"/>
    <mergeCell ref="B991:C991"/>
    <mergeCell ref="B980:C980"/>
    <mergeCell ref="B981:C981"/>
    <mergeCell ref="B982:C982"/>
    <mergeCell ref="B983:C983"/>
    <mergeCell ref="B984:C984"/>
    <mergeCell ref="B985:C985"/>
    <mergeCell ref="B974:C974"/>
    <mergeCell ref="B975:C975"/>
    <mergeCell ref="B976:C976"/>
    <mergeCell ref="B977:C977"/>
    <mergeCell ref="B978:C978"/>
    <mergeCell ref="B979:C979"/>
    <mergeCell ref="B968:C968"/>
    <mergeCell ref="B969:C969"/>
    <mergeCell ref="B970:C970"/>
    <mergeCell ref="B971:C971"/>
    <mergeCell ref="B972:C972"/>
    <mergeCell ref="B973:C973"/>
    <mergeCell ref="B962:C962"/>
    <mergeCell ref="B963:C963"/>
    <mergeCell ref="B964:C964"/>
    <mergeCell ref="B965:C965"/>
    <mergeCell ref="B966:C966"/>
    <mergeCell ref="B967:C967"/>
    <mergeCell ref="B956:C956"/>
    <mergeCell ref="B957:C957"/>
    <mergeCell ref="B958:C958"/>
    <mergeCell ref="B959:C959"/>
    <mergeCell ref="B960:C960"/>
    <mergeCell ref="B961:C961"/>
    <mergeCell ref="B950:C950"/>
    <mergeCell ref="B951:C951"/>
    <mergeCell ref="B952:C952"/>
    <mergeCell ref="B953:C953"/>
    <mergeCell ref="B954:C954"/>
    <mergeCell ref="B955:C955"/>
    <mergeCell ref="B944:C944"/>
    <mergeCell ref="B945:C945"/>
    <mergeCell ref="B946:C946"/>
    <mergeCell ref="B947:C947"/>
    <mergeCell ref="B948:C948"/>
    <mergeCell ref="B949:C949"/>
    <mergeCell ref="B938:C938"/>
    <mergeCell ref="B939:C939"/>
    <mergeCell ref="B940:C940"/>
    <mergeCell ref="B941:C941"/>
    <mergeCell ref="B942:C942"/>
    <mergeCell ref="B943:C943"/>
    <mergeCell ref="B932:C932"/>
    <mergeCell ref="B933:C933"/>
    <mergeCell ref="B934:C934"/>
    <mergeCell ref="B935:C935"/>
    <mergeCell ref="B936:C936"/>
    <mergeCell ref="B937:C937"/>
    <mergeCell ref="B926:C926"/>
    <mergeCell ref="B927:C927"/>
    <mergeCell ref="B928:C928"/>
    <mergeCell ref="B929:C929"/>
    <mergeCell ref="B930:C930"/>
    <mergeCell ref="B931:C931"/>
    <mergeCell ref="B920:C920"/>
    <mergeCell ref="B921:C921"/>
    <mergeCell ref="B922:C922"/>
    <mergeCell ref="B923:C923"/>
    <mergeCell ref="B924:C924"/>
    <mergeCell ref="B925:C925"/>
    <mergeCell ref="B914:C914"/>
    <mergeCell ref="B915:C915"/>
    <mergeCell ref="B916:C916"/>
    <mergeCell ref="B917:C917"/>
    <mergeCell ref="B918:C918"/>
    <mergeCell ref="B919:C919"/>
    <mergeCell ref="B908:C908"/>
    <mergeCell ref="B909:C909"/>
    <mergeCell ref="B910:C910"/>
    <mergeCell ref="B911:C911"/>
    <mergeCell ref="B912:C912"/>
    <mergeCell ref="B913:C913"/>
    <mergeCell ref="B902:C902"/>
    <mergeCell ref="B903:C903"/>
    <mergeCell ref="B904:C904"/>
    <mergeCell ref="B905:C905"/>
    <mergeCell ref="B906:C906"/>
    <mergeCell ref="B907:C907"/>
    <mergeCell ref="B896:C896"/>
    <mergeCell ref="B897:C897"/>
    <mergeCell ref="B898:C898"/>
    <mergeCell ref="B899:C899"/>
    <mergeCell ref="B900:C900"/>
    <mergeCell ref="B901:C901"/>
    <mergeCell ref="B890:C890"/>
    <mergeCell ref="B891:C891"/>
    <mergeCell ref="B892:C892"/>
    <mergeCell ref="B893:C893"/>
    <mergeCell ref="B894:C894"/>
    <mergeCell ref="B895:C895"/>
    <mergeCell ref="B884:C884"/>
    <mergeCell ref="B885:C885"/>
    <mergeCell ref="B886:C886"/>
    <mergeCell ref="B887:C887"/>
    <mergeCell ref="B888:C888"/>
    <mergeCell ref="B889:C889"/>
    <mergeCell ref="B878:C878"/>
    <mergeCell ref="B879:C879"/>
    <mergeCell ref="B880:C880"/>
    <mergeCell ref="B881:C881"/>
    <mergeCell ref="B882:C882"/>
    <mergeCell ref="B883:C883"/>
    <mergeCell ref="B872:C872"/>
    <mergeCell ref="B873:C873"/>
    <mergeCell ref="B874:C874"/>
    <mergeCell ref="B875:C875"/>
    <mergeCell ref="B876:C876"/>
    <mergeCell ref="B877:C877"/>
    <mergeCell ref="B866:C866"/>
    <mergeCell ref="B867:C867"/>
    <mergeCell ref="B868:C868"/>
    <mergeCell ref="B869:C869"/>
    <mergeCell ref="B870:C870"/>
    <mergeCell ref="B871:C871"/>
    <mergeCell ref="B860:C860"/>
    <mergeCell ref="B861:C861"/>
    <mergeCell ref="B862:C862"/>
    <mergeCell ref="B863:C863"/>
    <mergeCell ref="B864:C864"/>
    <mergeCell ref="B865:C865"/>
    <mergeCell ref="B854:C854"/>
    <mergeCell ref="B855:C855"/>
    <mergeCell ref="B856:C856"/>
    <mergeCell ref="B857:C857"/>
    <mergeCell ref="B858:C858"/>
    <mergeCell ref="B859:C859"/>
    <mergeCell ref="B848:C848"/>
    <mergeCell ref="B849:C849"/>
    <mergeCell ref="B850:C850"/>
    <mergeCell ref="B851:C851"/>
    <mergeCell ref="B852:C852"/>
    <mergeCell ref="B853:C853"/>
    <mergeCell ref="B842:C842"/>
    <mergeCell ref="B843:C843"/>
    <mergeCell ref="B844:C844"/>
    <mergeCell ref="B845:C845"/>
    <mergeCell ref="B846:C846"/>
    <mergeCell ref="B847:C847"/>
    <mergeCell ref="B836:C836"/>
    <mergeCell ref="B837:C837"/>
    <mergeCell ref="B838:C838"/>
    <mergeCell ref="B839:C839"/>
    <mergeCell ref="B840:C840"/>
    <mergeCell ref="B841:C841"/>
    <mergeCell ref="B830:C830"/>
    <mergeCell ref="B831:C831"/>
    <mergeCell ref="B832:C832"/>
    <mergeCell ref="B833:C833"/>
    <mergeCell ref="B834:C834"/>
    <mergeCell ref="B835:C835"/>
    <mergeCell ref="B824:C824"/>
    <mergeCell ref="B825:C825"/>
    <mergeCell ref="B826:C826"/>
    <mergeCell ref="B827:C827"/>
    <mergeCell ref="B828:C828"/>
    <mergeCell ref="B829:C829"/>
    <mergeCell ref="B818:C818"/>
    <mergeCell ref="B819:C819"/>
    <mergeCell ref="B820:C820"/>
    <mergeCell ref="B821:C821"/>
    <mergeCell ref="B822:C822"/>
    <mergeCell ref="B823:C823"/>
    <mergeCell ref="B812:C812"/>
    <mergeCell ref="B813:C813"/>
    <mergeCell ref="B814:C814"/>
    <mergeCell ref="B815:C815"/>
    <mergeCell ref="B816:C816"/>
    <mergeCell ref="B817:C817"/>
    <mergeCell ref="B806:C806"/>
    <mergeCell ref="B807:C807"/>
    <mergeCell ref="B808:C808"/>
    <mergeCell ref="B809:C809"/>
    <mergeCell ref="B810:C810"/>
    <mergeCell ref="B811:C811"/>
    <mergeCell ref="B800:C800"/>
    <mergeCell ref="B801:C801"/>
    <mergeCell ref="B802:C802"/>
    <mergeCell ref="B803:C803"/>
    <mergeCell ref="B804:C804"/>
    <mergeCell ref="B805:C805"/>
    <mergeCell ref="B794:C794"/>
    <mergeCell ref="B795:C795"/>
    <mergeCell ref="B796:C796"/>
    <mergeCell ref="B797:C797"/>
    <mergeCell ref="B798:C798"/>
    <mergeCell ref="B799:C799"/>
    <mergeCell ref="B788:C788"/>
    <mergeCell ref="B789:C789"/>
    <mergeCell ref="B790:C790"/>
    <mergeCell ref="B791:C791"/>
    <mergeCell ref="B792:C792"/>
    <mergeCell ref="B793:C793"/>
    <mergeCell ref="B782:C782"/>
    <mergeCell ref="B783:C783"/>
    <mergeCell ref="B784:C784"/>
    <mergeCell ref="B785:C785"/>
    <mergeCell ref="B786:C786"/>
    <mergeCell ref="B787:C787"/>
    <mergeCell ref="B776:C776"/>
    <mergeCell ref="B777:C777"/>
    <mergeCell ref="B778:C778"/>
    <mergeCell ref="B779:C779"/>
    <mergeCell ref="B780:C780"/>
    <mergeCell ref="B781:C781"/>
    <mergeCell ref="B770:C770"/>
    <mergeCell ref="B771:C771"/>
    <mergeCell ref="B772:C772"/>
    <mergeCell ref="B773:C773"/>
    <mergeCell ref="B774:C774"/>
    <mergeCell ref="B775:C775"/>
    <mergeCell ref="B764:C764"/>
    <mergeCell ref="B765:C765"/>
    <mergeCell ref="B766:C766"/>
    <mergeCell ref="B767:C767"/>
    <mergeCell ref="B768:C768"/>
    <mergeCell ref="B769:C769"/>
    <mergeCell ref="B758:C758"/>
    <mergeCell ref="B759:C759"/>
    <mergeCell ref="B760:C760"/>
    <mergeCell ref="B761:C761"/>
    <mergeCell ref="B762:C762"/>
    <mergeCell ref="B763:C763"/>
    <mergeCell ref="B752:C752"/>
    <mergeCell ref="B753:C753"/>
    <mergeCell ref="B754:C754"/>
    <mergeCell ref="B755:C755"/>
    <mergeCell ref="B756:C756"/>
    <mergeCell ref="B757:C757"/>
    <mergeCell ref="B746:C746"/>
    <mergeCell ref="B747:C747"/>
    <mergeCell ref="B748:C748"/>
    <mergeCell ref="B749:C749"/>
    <mergeCell ref="B750:C750"/>
    <mergeCell ref="B751:C751"/>
    <mergeCell ref="B740:C740"/>
    <mergeCell ref="B741:C741"/>
    <mergeCell ref="B742:C742"/>
    <mergeCell ref="B743:C743"/>
    <mergeCell ref="B744:C744"/>
    <mergeCell ref="B745:C745"/>
    <mergeCell ref="B734:C734"/>
    <mergeCell ref="B735:C735"/>
    <mergeCell ref="B736:C736"/>
    <mergeCell ref="B737:C737"/>
    <mergeCell ref="B738:C738"/>
    <mergeCell ref="B739:C739"/>
    <mergeCell ref="B728:C728"/>
    <mergeCell ref="B729:C729"/>
    <mergeCell ref="B730:C730"/>
    <mergeCell ref="B731:C731"/>
    <mergeCell ref="B732:C732"/>
    <mergeCell ref="B733:C733"/>
    <mergeCell ref="B722:C722"/>
    <mergeCell ref="B723:C723"/>
    <mergeCell ref="B724:C724"/>
    <mergeCell ref="B725:C725"/>
    <mergeCell ref="B726:C726"/>
    <mergeCell ref="B727:C727"/>
    <mergeCell ref="B716:C716"/>
    <mergeCell ref="B717:C717"/>
    <mergeCell ref="B718:C718"/>
    <mergeCell ref="B719:C719"/>
    <mergeCell ref="B720:C720"/>
    <mergeCell ref="B721:C721"/>
    <mergeCell ref="B710:C710"/>
    <mergeCell ref="B711:C711"/>
    <mergeCell ref="B712:C712"/>
    <mergeCell ref="B713:C713"/>
    <mergeCell ref="B714:C714"/>
    <mergeCell ref="B715:C715"/>
    <mergeCell ref="B704:C704"/>
    <mergeCell ref="B705:C705"/>
    <mergeCell ref="B706:C706"/>
    <mergeCell ref="B707:C707"/>
    <mergeCell ref="B708:C708"/>
    <mergeCell ref="B709:C709"/>
    <mergeCell ref="B698:C698"/>
    <mergeCell ref="B699:C699"/>
    <mergeCell ref="B700:C700"/>
    <mergeCell ref="B701:C701"/>
    <mergeCell ref="B702:C702"/>
    <mergeCell ref="B703:C703"/>
    <mergeCell ref="B692:C692"/>
    <mergeCell ref="B693:C693"/>
    <mergeCell ref="B694:C694"/>
    <mergeCell ref="B695:C695"/>
    <mergeCell ref="B696:C696"/>
    <mergeCell ref="B697:C697"/>
    <mergeCell ref="B686:C686"/>
    <mergeCell ref="B687:C687"/>
    <mergeCell ref="B688:C688"/>
    <mergeCell ref="B689:C689"/>
    <mergeCell ref="B690:C690"/>
    <mergeCell ref="B691:C691"/>
    <mergeCell ref="B680:C680"/>
    <mergeCell ref="B681:C681"/>
    <mergeCell ref="B682:C682"/>
    <mergeCell ref="B683:C683"/>
    <mergeCell ref="B684:C684"/>
    <mergeCell ref="B685:C685"/>
    <mergeCell ref="B674:C674"/>
    <mergeCell ref="B675:C675"/>
    <mergeCell ref="B676:C676"/>
    <mergeCell ref="B677:C677"/>
    <mergeCell ref="B678:C678"/>
    <mergeCell ref="B679:C679"/>
    <mergeCell ref="B668:C668"/>
    <mergeCell ref="B669:C669"/>
    <mergeCell ref="B670:C670"/>
    <mergeCell ref="B671:C671"/>
    <mergeCell ref="B672:C672"/>
    <mergeCell ref="B673:C673"/>
    <mergeCell ref="B662:C662"/>
    <mergeCell ref="B663:C663"/>
    <mergeCell ref="B664:C664"/>
    <mergeCell ref="B665:C665"/>
    <mergeCell ref="B666:C666"/>
    <mergeCell ref="B667:C667"/>
    <mergeCell ref="B656:C656"/>
    <mergeCell ref="B657:C657"/>
    <mergeCell ref="B658:C658"/>
    <mergeCell ref="B659:C659"/>
    <mergeCell ref="B660:C660"/>
    <mergeCell ref="B661:C661"/>
    <mergeCell ref="B650:C650"/>
    <mergeCell ref="B651:C651"/>
    <mergeCell ref="B652:C652"/>
    <mergeCell ref="B653:C653"/>
    <mergeCell ref="B654:C654"/>
    <mergeCell ref="B655:C655"/>
    <mergeCell ref="B644:C644"/>
    <mergeCell ref="B645:C645"/>
    <mergeCell ref="B646:C646"/>
    <mergeCell ref="B647:C647"/>
    <mergeCell ref="B648:C648"/>
    <mergeCell ref="B649:C649"/>
    <mergeCell ref="B638:C638"/>
    <mergeCell ref="B639:C639"/>
    <mergeCell ref="B640:C640"/>
    <mergeCell ref="B641:C641"/>
    <mergeCell ref="B642:C642"/>
    <mergeCell ref="B643:C643"/>
    <mergeCell ref="B632:C632"/>
    <mergeCell ref="B633:C633"/>
    <mergeCell ref="B634:C634"/>
    <mergeCell ref="B635:C635"/>
    <mergeCell ref="B636:C636"/>
    <mergeCell ref="B637:C637"/>
    <mergeCell ref="B626:C626"/>
    <mergeCell ref="B627:C627"/>
    <mergeCell ref="B628:C628"/>
    <mergeCell ref="B629:C629"/>
    <mergeCell ref="B630:C630"/>
    <mergeCell ref="B631:C631"/>
    <mergeCell ref="B620:C620"/>
    <mergeCell ref="B621:C621"/>
    <mergeCell ref="B622:C622"/>
    <mergeCell ref="B623:C623"/>
    <mergeCell ref="B624:C624"/>
    <mergeCell ref="B625:C625"/>
    <mergeCell ref="B614:C614"/>
    <mergeCell ref="B615:C615"/>
    <mergeCell ref="B616:C616"/>
    <mergeCell ref="B617:C617"/>
    <mergeCell ref="B618:C618"/>
    <mergeCell ref="B619:C619"/>
    <mergeCell ref="B608:C608"/>
    <mergeCell ref="B609:C609"/>
    <mergeCell ref="B610:C610"/>
    <mergeCell ref="B611:C611"/>
    <mergeCell ref="B612:C612"/>
    <mergeCell ref="B613:C613"/>
    <mergeCell ref="B602:C602"/>
    <mergeCell ref="B603:C603"/>
    <mergeCell ref="B604:C604"/>
    <mergeCell ref="B605:C605"/>
    <mergeCell ref="B606:C606"/>
    <mergeCell ref="B607:C607"/>
    <mergeCell ref="B596:C596"/>
    <mergeCell ref="B597:C597"/>
    <mergeCell ref="B598:C598"/>
    <mergeCell ref="B599:C599"/>
    <mergeCell ref="B600:C600"/>
    <mergeCell ref="B601:C601"/>
    <mergeCell ref="B590:C590"/>
    <mergeCell ref="B591:C591"/>
    <mergeCell ref="B592:C592"/>
    <mergeCell ref="B593:C593"/>
    <mergeCell ref="B594:C594"/>
    <mergeCell ref="B595:C595"/>
    <mergeCell ref="B584:C584"/>
    <mergeCell ref="B585:C585"/>
    <mergeCell ref="B586:C586"/>
    <mergeCell ref="B587:C587"/>
    <mergeCell ref="B588:C588"/>
    <mergeCell ref="B589:C589"/>
    <mergeCell ref="B578:C578"/>
    <mergeCell ref="B579:C579"/>
    <mergeCell ref="B580:C580"/>
    <mergeCell ref="B581:C581"/>
    <mergeCell ref="B582:C582"/>
    <mergeCell ref="B583:C583"/>
    <mergeCell ref="B572:C572"/>
    <mergeCell ref="B573:C573"/>
    <mergeCell ref="B574:C574"/>
    <mergeCell ref="B575:C575"/>
    <mergeCell ref="B576:C576"/>
    <mergeCell ref="B577:C577"/>
    <mergeCell ref="B566:C566"/>
    <mergeCell ref="B567:C567"/>
    <mergeCell ref="B568:C568"/>
    <mergeCell ref="B569:C569"/>
    <mergeCell ref="B570:C570"/>
    <mergeCell ref="B571:C571"/>
    <mergeCell ref="B560:C560"/>
    <mergeCell ref="B561:C561"/>
    <mergeCell ref="B562:C562"/>
    <mergeCell ref="B563:C563"/>
    <mergeCell ref="B564:C564"/>
    <mergeCell ref="B565:C565"/>
    <mergeCell ref="B554:C554"/>
    <mergeCell ref="B555:C555"/>
    <mergeCell ref="B556:C556"/>
    <mergeCell ref="B557:C557"/>
    <mergeCell ref="B558:C558"/>
    <mergeCell ref="B559:C559"/>
    <mergeCell ref="B548:C548"/>
    <mergeCell ref="B549:C549"/>
    <mergeCell ref="B550:C550"/>
    <mergeCell ref="B551:C551"/>
    <mergeCell ref="B552:C552"/>
    <mergeCell ref="B553:C553"/>
    <mergeCell ref="B542:C542"/>
    <mergeCell ref="B543:C543"/>
    <mergeCell ref="B544:C544"/>
    <mergeCell ref="B545:C545"/>
    <mergeCell ref="B546:C546"/>
    <mergeCell ref="B547:C547"/>
    <mergeCell ref="B536:C536"/>
    <mergeCell ref="B537:C537"/>
    <mergeCell ref="B538:C538"/>
    <mergeCell ref="B539:C539"/>
    <mergeCell ref="B540:C540"/>
    <mergeCell ref="B541:C541"/>
    <mergeCell ref="B530:C530"/>
    <mergeCell ref="B531:C531"/>
    <mergeCell ref="B532:C532"/>
    <mergeCell ref="B533:C533"/>
    <mergeCell ref="B534:C534"/>
    <mergeCell ref="B535:C535"/>
    <mergeCell ref="B524:C524"/>
    <mergeCell ref="B525:C525"/>
    <mergeCell ref="B526:C526"/>
    <mergeCell ref="B527:C527"/>
    <mergeCell ref="B528:C528"/>
    <mergeCell ref="B529:C529"/>
    <mergeCell ref="B518:C518"/>
    <mergeCell ref="B519:C519"/>
    <mergeCell ref="B520:C520"/>
    <mergeCell ref="B521:C521"/>
    <mergeCell ref="B522:C522"/>
    <mergeCell ref="B523:C523"/>
    <mergeCell ref="B512:C512"/>
    <mergeCell ref="B513:C513"/>
    <mergeCell ref="B514:C514"/>
    <mergeCell ref="B515:C515"/>
    <mergeCell ref="B516:C516"/>
    <mergeCell ref="B517:C517"/>
    <mergeCell ref="B506:C506"/>
    <mergeCell ref="B507:C507"/>
    <mergeCell ref="B508:C508"/>
    <mergeCell ref="B509:C509"/>
    <mergeCell ref="B510:C510"/>
    <mergeCell ref="B511:C511"/>
    <mergeCell ref="B500:C500"/>
    <mergeCell ref="B501:C501"/>
    <mergeCell ref="B502:C502"/>
    <mergeCell ref="B503:C503"/>
    <mergeCell ref="B504:C504"/>
    <mergeCell ref="B505:C505"/>
    <mergeCell ref="B494:C494"/>
    <mergeCell ref="B495:C495"/>
    <mergeCell ref="B496:C496"/>
    <mergeCell ref="B497:C497"/>
    <mergeCell ref="B498:C498"/>
    <mergeCell ref="B499:C499"/>
    <mergeCell ref="B488:C488"/>
    <mergeCell ref="B489:C489"/>
    <mergeCell ref="B490:C490"/>
    <mergeCell ref="B491:C491"/>
    <mergeCell ref="B492:C492"/>
    <mergeCell ref="B493:C493"/>
    <mergeCell ref="B482:C482"/>
    <mergeCell ref="B483:C483"/>
    <mergeCell ref="B484:C484"/>
    <mergeCell ref="B485:C485"/>
    <mergeCell ref="B486:C486"/>
    <mergeCell ref="B487:C487"/>
    <mergeCell ref="B476:C476"/>
    <mergeCell ref="B477:C477"/>
    <mergeCell ref="B478:C478"/>
    <mergeCell ref="B479:C479"/>
    <mergeCell ref="B480:C480"/>
    <mergeCell ref="B481:C481"/>
    <mergeCell ref="B470:C470"/>
    <mergeCell ref="B471:C471"/>
    <mergeCell ref="B472:C472"/>
    <mergeCell ref="B473:C473"/>
    <mergeCell ref="B474:C474"/>
    <mergeCell ref="B475:C475"/>
    <mergeCell ref="B464:C464"/>
    <mergeCell ref="B465:C465"/>
    <mergeCell ref="B466:C466"/>
    <mergeCell ref="B467:C467"/>
    <mergeCell ref="B468:C468"/>
    <mergeCell ref="B469:C469"/>
    <mergeCell ref="B458:C458"/>
    <mergeCell ref="B459:C459"/>
    <mergeCell ref="B460:C460"/>
    <mergeCell ref="B461:C461"/>
    <mergeCell ref="B462:C462"/>
    <mergeCell ref="B463:C463"/>
    <mergeCell ref="B452:C452"/>
    <mergeCell ref="B453:C453"/>
    <mergeCell ref="B454:C454"/>
    <mergeCell ref="B455:C455"/>
    <mergeCell ref="B456:C456"/>
    <mergeCell ref="B457:C457"/>
    <mergeCell ref="B446:C446"/>
    <mergeCell ref="B447:C447"/>
    <mergeCell ref="B448:C448"/>
    <mergeCell ref="B449:C449"/>
    <mergeCell ref="B450:C450"/>
    <mergeCell ref="B451:C451"/>
    <mergeCell ref="B440:C440"/>
    <mergeCell ref="B441:C441"/>
    <mergeCell ref="B442:C442"/>
    <mergeCell ref="B443:C443"/>
    <mergeCell ref="B444:C444"/>
    <mergeCell ref="B445:C445"/>
    <mergeCell ref="B434:C434"/>
    <mergeCell ref="B435:C435"/>
    <mergeCell ref="B436:C436"/>
    <mergeCell ref="B437:C437"/>
    <mergeCell ref="B438:C438"/>
    <mergeCell ref="B439:C439"/>
    <mergeCell ref="B428:C428"/>
    <mergeCell ref="B429:C429"/>
    <mergeCell ref="B430:C430"/>
    <mergeCell ref="B431:C431"/>
    <mergeCell ref="B432:C432"/>
    <mergeCell ref="B433:C433"/>
    <mergeCell ref="B422:C422"/>
    <mergeCell ref="B423:C423"/>
    <mergeCell ref="B424:C424"/>
    <mergeCell ref="B425:C425"/>
    <mergeCell ref="B426:C426"/>
    <mergeCell ref="B427:C427"/>
    <mergeCell ref="B416:C416"/>
    <mergeCell ref="B417:C417"/>
    <mergeCell ref="B418:C418"/>
    <mergeCell ref="B419:C419"/>
    <mergeCell ref="B420:C420"/>
    <mergeCell ref="B421:C421"/>
    <mergeCell ref="B410:C410"/>
    <mergeCell ref="B411:C411"/>
    <mergeCell ref="B412:C412"/>
    <mergeCell ref="B413:C413"/>
    <mergeCell ref="B414:C414"/>
    <mergeCell ref="B415:C415"/>
    <mergeCell ref="B404:C404"/>
    <mergeCell ref="B405:C405"/>
    <mergeCell ref="B406:C406"/>
    <mergeCell ref="B407:C407"/>
    <mergeCell ref="B408:C408"/>
    <mergeCell ref="B409:C409"/>
    <mergeCell ref="B398:C398"/>
    <mergeCell ref="B399:C399"/>
    <mergeCell ref="B400:C400"/>
    <mergeCell ref="B401:C401"/>
    <mergeCell ref="B402:C402"/>
    <mergeCell ref="B403:C403"/>
    <mergeCell ref="B392:C392"/>
    <mergeCell ref="B393:C393"/>
    <mergeCell ref="B394:C394"/>
    <mergeCell ref="B395:C395"/>
    <mergeCell ref="B396:C396"/>
    <mergeCell ref="B397:C397"/>
    <mergeCell ref="B386:C386"/>
    <mergeCell ref="B387:C387"/>
    <mergeCell ref="B388:C388"/>
    <mergeCell ref="B389:C389"/>
    <mergeCell ref="B390:C390"/>
    <mergeCell ref="B391:C391"/>
    <mergeCell ref="B380:C380"/>
    <mergeCell ref="B381:C381"/>
    <mergeCell ref="B382:C382"/>
    <mergeCell ref="B383:C383"/>
    <mergeCell ref="B384:C384"/>
    <mergeCell ref="B385:C385"/>
    <mergeCell ref="B374:C374"/>
    <mergeCell ref="B375:C375"/>
    <mergeCell ref="B376:C376"/>
    <mergeCell ref="B377:C377"/>
    <mergeCell ref="B378:C378"/>
    <mergeCell ref="B379:C379"/>
    <mergeCell ref="B368:C368"/>
    <mergeCell ref="B369:C369"/>
    <mergeCell ref="B370:C370"/>
    <mergeCell ref="B371:C371"/>
    <mergeCell ref="B372:C372"/>
    <mergeCell ref="B373:C373"/>
    <mergeCell ref="B362:C362"/>
    <mergeCell ref="B363:C363"/>
    <mergeCell ref="B364:C364"/>
    <mergeCell ref="B365:C365"/>
    <mergeCell ref="B366:C366"/>
    <mergeCell ref="B367:C367"/>
    <mergeCell ref="B356:C356"/>
    <mergeCell ref="B357:C357"/>
    <mergeCell ref="B358:C358"/>
    <mergeCell ref="B359:C359"/>
    <mergeCell ref="B360:C360"/>
    <mergeCell ref="B361:C361"/>
    <mergeCell ref="B350:C350"/>
    <mergeCell ref="B351:C351"/>
    <mergeCell ref="B352:C352"/>
    <mergeCell ref="B353:C353"/>
    <mergeCell ref="B354:C354"/>
    <mergeCell ref="B355:C355"/>
    <mergeCell ref="B344:C344"/>
    <mergeCell ref="B345:C345"/>
    <mergeCell ref="B346:C346"/>
    <mergeCell ref="B347:C347"/>
    <mergeCell ref="B348:C348"/>
    <mergeCell ref="B349:C349"/>
    <mergeCell ref="B338:C338"/>
    <mergeCell ref="B339:C339"/>
    <mergeCell ref="B340:C340"/>
    <mergeCell ref="B341:C341"/>
    <mergeCell ref="B342:C342"/>
    <mergeCell ref="B343:C343"/>
    <mergeCell ref="B332:C332"/>
    <mergeCell ref="B333:C333"/>
    <mergeCell ref="B334:C334"/>
    <mergeCell ref="B335:C335"/>
    <mergeCell ref="B336:C336"/>
    <mergeCell ref="B337:C337"/>
    <mergeCell ref="B326:C326"/>
    <mergeCell ref="B327:C327"/>
    <mergeCell ref="B328:C328"/>
    <mergeCell ref="B329:C329"/>
    <mergeCell ref="B330:C330"/>
    <mergeCell ref="B331:C331"/>
    <mergeCell ref="B320:C320"/>
    <mergeCell ref="B321:C321"/>
    <mergeCell ref="B322:C322"/>
    <mergeCell ref="B323:C323"/>
    <mergeCell ref="B324:C324"/>
    <mergeCell ref="B325:C325"/>
    <mergeCell ref="B314:C314"/>
    <mergeCell ref="B315:C315"/>
    <mergeCell ref="B316:C316"/>
    <mergeCell ref="B317:C317"/>
    <mergeCell ref="B318:C318"/>
    <mergeCell ref="B319:C319"/>
    <mergeCell ref="B308:C308"/>
    <mergeCell ref="B309:C309"/>
    <mergeCell ref="B310:C310"/>
    <mergeCell ref="B311:C311"/>
    <mergeCell ref="B312:C312"/>
    <mergeCell ref="B313:C313"/>
    <mergeCell ref="B302:C302"/>
    <mergeCell ref="B303:C303"/>
    <mergeCell ref="B304:C304"/>
    <mergeCell ref="B305:C305"/>
    <mergeCell ref="B306:C306"/>
    <mergeCell ref="B307:C307"/>
    <mergeCell ref="B296:C296"/>
    <mergeCell ref="B297:C297"/>
    <mergeCell ref="B298:C298"/>
    <mergeCell ref="B299:C299"/>
    <mergeCell ref="B300:C300"/>
    <mergeCell ref="B301:C301"/>
    <mergeCell ref="B290:C290"/>
    <mergeCell ref="B291:C291"/>
    <mergeCell ref="B292:C292"/>
    <mergeCell ref="B293:C293"/>
    <mergeCell ref="B294:C294"/>
    <mergeCell ref="B295:C295"/>
    <mergeCell ref="B284:C284"/>
    <mergeCell ref="B285:C285"/>
    <mergeCell ref="B286:C286"/>
    <mergeCell ref="B287:C287"/>
    <mergeCell ref="B288:C288"/>
    <mergeCell ref="B289:C289"/>
    <mergeCell ref="B278:C278"/>
    <mergeCell ref="B279:C279"/>
    <mergeCell ref="B280:C280"/>
    <mergeCell ref="B281:C281"/>
    <mergeCell ref="B282:C282"/>
    <mergeCell ref="B283:C283"/>
    <mergeCell ref="B272:C272"/>
    <mergeCell ref="B273:C273"/>
    <mergeCell ref="B274:C274"/>
    <mergeCell ref="B275:C275"/>
    <mergeCell ref="B276:C276"/>
    <mergeCell ref="B277:C277"/>
    <mergeCell ref="B266:C266"/>
    <mergeCell ref="B267:C267"/>
    <mergeCell ref="B268:C268"/>
    <mergeCell ref="B269:C269"/>
    <mergeCell ref="B270:C270"/>
    <mergeCell ref="B271:C271"/>
    <mergeCell ref="B260:C260"/>
    <mergeCell ref="B261:C261"/>
    <mergeCell ref="B262:C262"/>
    <mergeCell ref="B263:C263"/>
    <mergeCell ref="B264:C264"/>
    <mergeCell ref="B265:C265"/>
    <mergeCell ref="B254:C254"/>
    <mergeCell ref="B255:C255"/>
    <mergeCell ref="B256:C256"/>
    <mergeCell ref="B257:C257"/>
    <mergeCell ref="B258:C258"/>
    <mergeCell ref="B259:C259"/>
    <mergeCell ref="B248:C248"/>
    <mergeCell ref="B249:C249"/>
    <mergeCell ref="B250:C250"/>
    <mergeCell ref="B251:C251"/>
    <mergeCell ref="B252:C252"/>
    <mergeCell ref="B253:C253"/>
    <mergeCell ref="B242:C242"/>
    <mergeCell ref="B243:C243"/>
    <mergeCell ref="B244:C244"/>
    <mergeCell ref="B245:C245"/>
    <mergeCell ref="B246:C246"/>
    <mergeCell ref="B247:C247"/>
    <mergeCell ref="B236:C236"/>
    <mergeCell ref="B237:C237"/>
    <mergeCell ref="B238:C238"/>
    <mergeCell ref="B239:C239"/>
    <mergeCell ref="B240:C240"/>
    <mergeCell ref="B241:C241"/>
    <mergeCell ref="B230:C230"/>
    <mergeCell ref="B231:C231"/>
    <mergeCell ref="B232:C232"/>
    <mergeCell ref="B233:C233"/>
    <mergeCell ref="B234:C234"/>
    <mergeCell ref="B235:C235"/>
    <mergeCell ref="B224:C224"/>
    <mergeCell ref="B225:C225"/>
    <mergeCell ref="B226:C226"/>
    <mergeCell ref="B227:C227"/>
    <mergeCell ref="B228:C228"/>
    <mergeCell ref="B229:C229"/>
    <mergeCell ref="B218:C218"/>
    <mergeCell ref="B219:C219"/>
    <mergeCell ref="B220:C220"/>
    <mergeCell ref="B221:C221"/>
    <mergeCell ref="B222:C222"/>
    <mergeCell ref="B223:C223"/>
    <mergeCell ref="B212:C212"/>
    <mergeCell ref="B213:C213"/>
    <mergeCell ref="B214:C214"/>
    <mergeCell ref="B215:C215"/>
    <mergeCell ref="B216:C216"/>
    <mergeCell ref="B217:C217"/>
    <mergeCell ref="B206:C206"/>
    <mergeCell ref="B207:C207"/>
    <mergeCell ref="B208:C208"/>
    <mergeCell ref="B209:C209"/>
    <mergeCell ref="B210:C210"/>
    <mergeCell ref="B211:C211"/>
    <mergeCell ref="B200:C200"/>
    <mergeCell ref="B201:C201"/>
    <mergeCell ref="B202:C202"/>
    <mergeCell ref="B203:C203"/>
    <mergeCell ref="B204:C204"/>
    <mergeCell ref="B205:C205"/>
    <mergeCell ref="B194:C194"/>
    <mergeCell ref="B195:C195"/>
    <mergeCell ref="B196:C196"/>
    <mergeCell ref="B197:C197"/>
    <mergeCell ref="B198:C198"/>
    <mergeCell ref="B199:C199"/>
    <mergeCell ref="B188:C188"/>
    <mergeCell ref="B189:C189"/>
    <mergeCell ref="B190:C190"/>
    <mergeCell ref="B191:C191"/>
    <mergeCell ref="B192:C192"/>
    <mergeCell ref="B193:C193"/>
    <mergeCell ref="B182:C182"/>
    <mergeCell ref="B183:C183"/>
    <mergeCell ref="B184:C184"/>
    <mergeCell ref="B185:C185"/>
    <mergeCell ref="B186:C186"/>
    <mergeCell ref="B187:C187"/>
    <mergeCell ref="B176:C176"/>
    <mergeCell ref="B177:C177"/>
    <mergeCell ref="B178:C178"/>
    <mergeCell ref="B179:C179"/>
    <mergeCell ref="B180:C180"/>
    <mergeCell ref="B181:C181"/>
    <mergeCell ref="B170:C170"/>
    <mergeCell ref="B171:C171"/>
    <mergeCell ref="B172:C172"/>
    <mergeCell ref="B173:C173"/>
    <mergeCell ref="B174:C174"/>
    <mergeCell ref="B175:C175"/>
    <mergeCell ref="B164:C164"/>
    <mergeCell ref="B165:C165"/>
    <mergeCell ref="B166:C166"/>
    <mergeCell ref="B167:C167"/>
    <mergeCell ref="B168:C168"/>
    <mergeCell ref="B169:C169"/>
    <mergeCell ref="B158:C158"/>
    <mergeCell ref="B159:C159"/>
    <mergeCell ref="B160:C160"/>
    <mergeCell ref="B161:C161"/>
    <mergeCell ref="B162:C162"/>
    <mergeCell ref="B163:C163"/>
    <mergeCell ref="B152:C152"/>
    <mergeCell ref="B153:C153"/>
    <mergeCell ref="B154:C154"/>
    <mergeCell ref="B155:C155"/>
    <mergeCell ref="B156:C156"/>
    <mergeCell ref="B157:C157"/>
    <mergeCell ref="B146:C146"/>
    <mergeCell ref="B147:C147"/>
    <mergeCell ref="B148:C148"/>
    <mergeCell ref="B149:C149"/>
    <mergeCell ref="B150:C150"/>
    <mergeCell ref="B151:C151"/>
    <mergeCell ref="B140:C140"/>
    <mergeCell ref="B141:C141"/>
    <mergeCell ref="B142:C142"/>
    <mergeCell ref="B143:C143"/>
    <mergeCell ref="B144:C144"/>
    <mergeCell ref="B145:C145"/>
    <mergeCell ref="B134:C134"/>
    <mergeCell ref="B135:C135"/>
    <mergeCell ref="B136:C136"/>
    <mergeCell ref="B137:C137"/>
    <mergeCell ref="B138:C138"/>
    <mergeCell ref="B139:C139"/>
    <mergeCell ref="B128:C128"/>
    <mergeCell ref="B129:C129"/>
    <mergeCell ref="B130:C130"/>
    <mergeCell ref="B131:C131"/>
    <mergeCell ref="B132:C132"/>
    <mergeCell ref="B133:C133"/>
    <mergeCell ref="B122:C122"/>
    <mergeCell ref="B123:C123"/>
    <mergeCell ref="B124:C124"/>
    <mergeCell ref="B125:C125"/>
    <mergeCell ref="B126:C126"/>
    <mergeCell ref="B127:C127"/>
    <mergeCell ref="B116:C116"/>
    <mergeCell ref="B117:C117"/>
    <mergeCell ref="B118:C118"/>
    <mergeCell ref="B119:C119"/>
    <mergeCell ref="B120:C120"/>
    <mergeCell ref="B121:C121"/>
    <mergeCell ref="B110:C110"/>
    <mergeCell ref="B111:C111"/>
    <mergeCell ref="B112:C112"/>
    <mergeCell ref="B113:C113"/>
    <mergeCell ref="B114:C114"/>
    <mergeCell ref="B115:C115"/>
    <mergeCell ref="B104:C104"/>
    <mergeCell ref="B105:C105"/>
    <mergeCell ref="B106:C106"/>
    <mergeCell ref="B107:C107"/>
    <mergeCell ref="B108:C108"/>
    <mergeCell ref="B109:C109"/>
    <mergeCell ref="B98:C98"/>
    <mergeCell ref="B99:C99"/>
    <mergeCell ref="B100:C100"/>
    <mergeCell ref="B101:C101"/>
    <mergeCell ref="B102:C102"/>
    <mergeCell ref="B103:C103"/>
    <mergeCell ref="B92:C92"/>
    <mergeCell ref="B93:C93"/>
    <mergeCell ref="B94:C94"/>
    <mergeCell ref="B95:C95"/>
    <mergeCell ref="B96:C96"/>
    <mergeCell ref="B97:C97"/>
    <mergeCell ref="B86:C86"/>
    <mergeCell ref="B87:C87"/>
    <mergeCell ref="B88:C88"/>
    <mergeCell ref="B89:C89"/>
    <mergeCell ref="B90:C90"/>
    <mergeCell ref="B91:C91"/>
    <mergeCell ref="B80:C80"/>
    <mergeCell ref="B81:C81"/>
    <mergeCell ref="B82:C82"/>
    <mergeCell ref="B83:C83"/>
    <mergeCell ref="B84:C84"/>
    <mergeCell ref="B85:C85"/>
    <mergeCell ref="B74:C74"/>
    <mergeCell ref="B75:C75"/>
    <mergeCell ref="B76:C76"/>
    <mergeCell ref="B77:C77"/>
    <mergeCell ref="B78:C78"/>
    <mergeCell ref="B79:C79"/>
    <mergeCell ref="B68:C68"/>
    <mergeCell ref="B69:C69"/>
    <mergeCell ref="B70:C70"/>
    <mergeCell ref="B71:C71"/>
    <mergeCell ref="B72:C72"/>
    <mergeCell ref="B73:C73"/>
    <mergeCell ref="B62:C62"/>
    <mergeCell ref="B63:C63"/>
    <mergeCell ref="B64:C64"/>
    <mergeCell ref="B65:C65"/>
    <mergeCell ref="B66:C66"/>
    <mergeCell ref="B67:C67"/>
    <mergeCell ref="B56:C56"/>
    <mergeCell ref="B57:C57"/>
    <mergeCell ref="B58:C58"/>
    <mergeCell ref="B59:C59"/>
    <mergeCell ref="B60:C60"/>
    <mergeCell ref="B61:C61"/>
    <mergeCell ref="B50:C50"/>
    <mergeCell ref="B51:C51"/>
    <mergeCell ref="B52:C52"/>
    <mergeCell ref="B53:C53"/>
    <mergeCell ref="B54:C54"/>
    <mergeCell ref="B55:C55"/>
    <mergeCell ref="B44:C44"/>
    <mergeCell ref="B45:C45"/>
    <mergeCell ref="B46:C46"/>
    <mergeCell ref="B47:C47"/>
    <mergeCell ref="B48:C48"/>
    <mergeCell ref="B49:C49"/>
    <mergeCell ref="B38:C38"/>
    <mergeCell ref="B39:C39"/>
    <mergeCell ref="B40:C40"/>
    <mergeCell ref="B41:C41"/>
    <mergeCell ref="B42:C42"/>
    <mergeCell ref="B43:C43"/>
    <mergeCell ref="B32:C32"/>
    <mergeCell ref="B33:C33"/>
    <mergeCell ref="B34:C34"/>
    <mergeCell ref="B35:C35"/>
    <mergeCell ref="B36:C36"/>
    <mergeCell ref="B37:C37"/>
    <mergeCell ref="B26:C26"/>
    <mergeCell ref="B27:C27"/>
    <mergeCell ref="B28:C28"/>
    <mergeCell ref="B29:C29"/>
    <mergeCell ref="B30:C30"/>
    <mergeCell ref="B31:C31"/>
    <mergeCell ref="B20:C20"/>
    <mergeCell ref="B21:C21"/>
    <mergeCell ref="B22:C22"/>
    <mergeCell ref="B23:C23"/>
    <mergeCell ref="B24:C24"/>
    <mergeCell ref="B25:C25"/>
    <mergeCell ref="B14:C14"/>
    <mergeCell ref="B15:C15"/>
    <mergeCell ref="B16:C16"/>
    <mergeCell ref="B17:C17"/>
    <mergeCell ref="B18:C18"/>
    <mergeCell ref="B19:C19"/>
    <mergeCell ref="B8:C8"/>
    <mergeCell ref="B9:C9"/>
    <mergeCell ref="B10:C10"/>
    <mergeCell ref="B11:C11"/>
    <mergeCell ref="B12:C12"/>
    <mergeCell ref="B13:C13"/>
    <mergeCell ref="B4:C4"/>
    <mergeCell ref="B5:C5"/>
    <mergeCell ref="B6:C6"/>
    <mergeCell ref="B7:C7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48FF39-92AA-448E-8009-A12FB7BCC329}">
  <sheetPr codeName="Feuil10"/>
  <dimension ref="B2:K14"/>
  <sheetViews>
    <sheetView workbookViewId="0">
      <selection activeCell="G12" sqref="G12"/>
    </sheetView>
  </sheetViews>
  <sheetFormatPr baseColWidth="10" defaultRowHeight="14.4" x14ac:dyDescent="0.3"/>
  <sheetData>
    <row r="2" spans="2:11" x14ac:dyDescent="0.3">
      <c r="B2" s="43" t="s">
        <v>44</v>
      </c>
      <c r="C2" s="44"/>
      <c r="D2" s="44"/>
      <c r="E2" s="44"/>
      <c r="F2" s="44"/>
      <c r="G2" s="44"/>
      <c r="H2" s="44"/>
      <c r="I2" s="44"/>
      <c r="J2" s="44"/>
      <c r="K2" s="44"/>
    </row>
    <row r="3" spans="2:11" ht="15" thickBot="1" x14ac:dyDescent="0.35"/>
    <row r="4" spans="2:11" ht="15" thickBot="1" x14ac:dyDescent="0.35">
      <c r="B4" s="40" t="s">
        <v>31</v>
      </c>
      <c r="C4" s="41" t="s">
        <v>43</v>
      </c>
      <c r="D4" s="42"/>
      <c r="E4" s="45" t="s">
        <v>45</v>
      </c>
      <c r="F4" s="46"/>
      <c r="G4" s="47"/>
      <c r="I4" s="1" t="s">
        <v>19</v>
      </c>
      <c r="J4" s="28" t="s">
        <v>46</v>
      </c>
      <c r="K4" s="34"/>
    </row>
    <row r="5" spans="2:11" ht="15" thickBot="1" x14ac:dyDescent="0.35">
      <c r="B5" s="36">
        <f ca="1">RANDBETWEEN(10,100000)</f>
        <v>82540</v>
      </c>
      <c r="C5" s="37" cm="1">
        <f t="array" aca="1" ref="C5" ca="1">pers(B5)</f>
        <v>1</v>
      </c>
      <c r="E5" s="52" cm="1">
        <f t="array" ref="E5">ppep4()</f>
        <v>77</v>
      </c>
      <c r="F5" s="50"/>
      <c r="G5" s="51"/>
      <c r="I5" s="36">
        <v>1</v>
      </c>
      <c r="J5" s="48" cm="1">
        <f t="array" ref="J5">nppep4(0)</f>
        <v>77</v>
      </c>
      <c r="K5" s="49"/>
    </row>
    <row r="6" spans="2:11" x14ac:dyDescent="0.3">
      <c r="B6" s="36">
        <f t="shared" ref="B6:B14" ca="1" si="0">RANDBETWEEN(10,100000)</f>
        <v>8431</v>
      </c>
      <c r="C6" s="37" cm="1">
        <f t="array" aca="1" ref="C6" ca="1">pers(B6)</f>
        <v>4</v>
      </c>
      <c r="I6" s="36">
        <f>I5+1</f>
        <v>2</v>
      </c>
      <c r="J6" s="48" cm="1">
        <f t="array" ref="J6">nppep4(J5)</f>
        <v>177</v>
      </c>
      <c r="K6" s="49"/>
    </row>
    <row r="7" spans="2:11" x14ac:dyDescent="0.3">
      <c r="B7" s="36">
        <f t="shared" ca="1" si="0"/>
        <v>43315</v>
      </c>
      <c r="C7" s="37" cm="1">
        <f t="array" aca="1" ref="C7" ca="1">pers(B7)</f>
        <v>2</v>
      </c>
      <c r="I7" s="36">
        <f t="shared" ref="I7:I14" si="1">I6+1</f>
        <v>3</v>
      </c>
      <c r="J7" s="48" cm="1">
        <f t="array" ref="J7">nppep4(J6)</f>
        <v>268</v>
      </c>
      <c r="K7" s="49"/>
    </row>
    <row r="8" spans="2:11" x14ac:dyDescent="0.3">
      <c r="B8" s="36">
        <f t="shared" ca="1" si="0"/>
        <v>97678</v>
      </c>
      <c r="C8" s="37" cm="1">
        <f t="array" aca="1" ref="C8" ca="1">pers(B8)</f>
        <v>5</v>
      </c>
      <c r="I8" s="36">
        <f t="shared" si="1"/>
        <v>4</v>
      </c>
      <c r="J8" s="48" cm="1">
        <f t="array" ref="J8">nppep4(J7)</f>
        <v>277</v>
      </c>
      <c r="K8" s="49"/>
    </row>
    <row r="9" spans="2:11" x14ac:dyDescent="0.3">
      <c r="B9" s="36">
        <f t="shared" ca="1" si="0"/>
        <v>58173</v>
      </c>
      <c r="C9" s="37" cm="1">
        <f t="array" aca="1" ref="C9" ca="1">pers(B9)</f>
        <v>2</v>
      </c>
      <c r="I9" s="36">
        <f t="shared" si="1"/>
        <v>5</v>
      </c>
      <c r="J9" s="48" cm="1">
        <f t="array" ref="J9">nppep4(J8)</f>
        <v>286</v>
      </c>
      <c r="K9" s="49"/>
    </row>
    <row r="10" spans="2:11" x14ac:dyDescent="0.3">
      <c r="B10" s="36">
        <f t="shared" ca="1" si="0"/>
        <v>21589</v>
      </c>
      <c r="C10" s="37" cm="1">
        <f t="array" aca="1" ref="C10" ca="1">pers(B10)</f>
        <v>2</v>
      </c>
      <c r="I10" s="36">
        <f t="shared" si="1"/>
        <v>6</v>
      </c>
      <c r="J10" s="48" cm="1">
        <f t="array" ref="J10">nppep4(J9)</f>
        <v>348</v>
      </c>
      <c r="K10" s="49"/>
    </row>
    <row r="11" spans="2:11" x14ac:dyDescent="0.3">
      <c r="B11" s="36">
        <f t="shared" ca="1" si="0"/>
        <v>45577</v>
      </c>
      <c r="C11" s="37" cm="1">
        <f t="array" aca="1" ref="C11" ca="1">pers(B11)</f>
        <v>2</v>
      </c>
      <c r="I11" s="36">
        <f t="shared" si="1"/>
        <v>7</v>
      </c>
      <c r="J11" s="48" cm="1">
        <f t="array" ref="J11">nppep4(J10)</f>
        <v>355</v>
      </c>
      <c r="K11" s="49"/>
    </row>
    <row r="12" spans="2:11" x14ac:dyDescent="0.3">
      <c r="B12" s="36">
        <f t="shared" ca="1" si="0"/>
        <v>79655</v>
      </c>
      <c r="C12" s="37" cm="1">
        <f t="array" aca="1" ref="C12" ca="1">pers(B12)</f>
        <v>2</v>
      </c>
      <c r="I12" s="36">
        <f t="shared" si="1"/>
        <v>8</v>
      </c>
      <c r="J12" s="48" cm="1">
        <f t="array" ref="J12">nppep4(J11)</f>
        <v>377</v>
      </c>
      <c r="K12" s="49"/>
    </row>
    <row r="13" spans="2:11" x14ac:dyDescent="0.3">
      <c r="B13" s="36">
        <f t="shared" ca="1" si="0"/>
        <v>88256</v>
      </c>
      <c r="C13" s="37" cm="1">
        <f t="array" aca="1" ref="C13" ca="1">pers(B13)</f>
        <v>2</v>
      </c>
      <c r="I13" s="36">
        <f t="shared" si="1"/>
        <v>9</v>
      </c>
      <c r="J13" s="48" cm="1">
        <f t="array" ref="J13">nppep4(J12)</f>
        <v>378</v>
      </c>
      <c r="K13" s="49"/>
    </row>
    <row r="14" spans="2:11" ht="15" thickBot="1" x14ac:dyDescent="0.35">
      <c r="B14" s="38">
        <f t="shared" ca="1" si="0"/>
        <v>19652</v>
      </c>
      <c r="C14" s="39" cm="1">
        <f t="array" aca="1" ref="C14" ca="1">pers(B14)</f>
        <v>2</v>
      </c>
      <c r="I14" s="38">
        <f t="shared" si="1"/>
        <v>10</v>
      </c>
      <c r="J14" s="50" cm="1">
        <f t="array" ref="J14">nppep4(J13)</f>
        <v>379</v>
      </c>
      <c r="K14" s="51"/>
    </row>
  </sheetData>
  <mergeCells count="14">
    <mergeCell ref="J12:K12"/>
    <mergeCell ref="J13:K13"/>
    <mergeCell ref="J14:K14"/>
    <mergeCell ref="B2:K2"/>
    <mergeCell ref="J6:K6"/>
    <mergeCell ref="J7:K7"/>
    <mergeCell ref="J8:K8"/>
    <mergeCell ref="J9:K9"/>
    <mergeCell ref="J10:K10"/>
    <mergeCell ref="J11:K11"/>
    <mergeCell ref="E4:G4"/>
    <mergeCell ref="E5:G5"/>
    <mergeCell ref="J4:K4"/>
    <mergeCell ref="J5:K5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BEFAE-A133-4507-A2D4-4B075597DE21}">
  <sheetPr codeName="Feuil11"/>
  <dimension ref="B4:E6"/>
  <sheetViews>
    <sheetView tabSelected="1" workbookViewId="0">
      <selection activeCell="E7" sqref="E7"/>
    </sheetView>
  </sheetViews>
  <sheetFormatPr baseColWidth="10" defaultRowHeight="14.4" x14ac:dyDescent="0.3"/>
  <sheetData>
    <row r="4" spans="2:5" x14ac:dyDescent="0.3">
      <c r="B4" s="25" t="s">
        <v>49</v>
      </c>
      <c r="C4" s="25"/>
    </row>
    <row r="5" spans="2:5" x14ac:dyDescent="0.3">
      <c r="B5" t="s">
        <v>4</v>
      </c>
      <c r="C5" t="s">
        <v>5</v>
      </c>
      <c r="D5" t="s">
        <v>47</v>
      </c>
    </row>
    <row r="6" spans="2:5" x14ac:dyDescent="0.3">
      <c r="D6" t="s">
        <v>48</v>
      </c>
      <c r="E6" t="e" cm="1">
        <f t="array" ref="E6">cryptage(D6,B6,C6)</f>
        <v>#VALUE!</v>
      </c>
    </row>
  </sheetData>
  <mergeCells count="1">
    <mergeCell ref="B4:C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11</vt:i4>
      </vt:variant>
    </vt:vector>
  </HeadingPairs>
  <TitlesOfParts>
    <vt:vector size="11" baseType="lpstr">
      <vt:lpstr>Exercice1</vt:lpstr>
      <vt:lpstr>Exercice2-3</vt:lpstr>
      <vt:lpstr>Exercice4</vt:lpstr>
      <vt:lpstr>Exercice5</vt:lpstr>
      <vt:lpstr>Exercice6</vt:lpstr>
      <vt:lpstr>Exercice7</vt:lpstr>
      <vt:lpstr>Exercice8</vt:lpstr>
      <vt:lpstr>Exercice9</vt:lpstr>
      <vt:lpstr>Exercice10</vt:lpstr>
      <vt:lpstr>Exercice11</vt:lpstr>
      <vt:lpstr>Exercice12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léo chouippe</dc:creator>
  <cp:lastModifiedBy>léo chouippe</cp:lastModifiedBy>
  <dcterms:created xsi:type="dcterms:W3CDTF">2024-04-10T07:13:10Z</dcterms:created>
  <dcterms:modified xsi:type="dcterms:W3CDTF">2024-04-15T16:07:31Z</dcterms:modified>
</cp:coreProperties>
</file>